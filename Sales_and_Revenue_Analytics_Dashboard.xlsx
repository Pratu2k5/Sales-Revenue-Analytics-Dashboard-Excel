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F:\Excel\Projects\"/>
    </mc:Choice>
  </mc:AlternateContent>
  <xr:revisionPtr revIDLastSave="0" documentId="13_ncr:1_{44C991B0-5CD4-448E-B689-8CCB1BD181A3}" xr6:coauthVersionLast="47" xr6:coauthVersionMax="47" xr10:uidLastSave="{00000000-0000-0000-0000-000000000000}"/>
  <bookViews>
    <workbookView xWindow="-108" yWindow="-108" windowWidth="23256" windowHeight="12456" xr2:uid="{00000000-000D-0000-FFFF-FFFF00000000}"/>
  </bookViews>
  <sheets>
    <sheet name="Sales Data" sheetId="1" r:id="rId1"/>
    <sheet name="Pivot Tables" sheetId="3" r:id="rId2"/>
    <sheet name="Dashboard" sheetId="4" r:id="rId3"/>
  </sheets>
  <definedNames>
    <definedName name="_xlnm._FilterDatabase" localSheetId="0" hidden="1">'Sales Data'!$B$2:$K$202</definedName>
    <definedName name="NativeTimeline_Date">#N/A</definedName>
    <definedName name="Slicer_Category">#N/A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1" l="1"/>
  <c r="K7" i="1"/>
  <c r="K10" i="1"/>
  <c r="K11" i="1"/>
  <c r="K14" i="1"/>
  <c r="K15" i="1"/>
  <c r="K18" i="1"/>
  <c r="K19" i="1"/>
  <c r="K22" i="1"/>
  <c r="K23" i="1"/>
  <c r="K26" i="1"/>
  <c r="K27" i="1"/>
  <c r="K30" i="1"/>
  <c r="K31" i="1"/>
  <c r="K34" i="1"/>
  <c r="K35" i="1"/>
  <c r="K38" i="1"/>
  <c r="K39" i="1"/>
  <c r="K42" i="1"/>
  <c r="K43" i="1"/>
  <c r="K46" i="1"/>
  <c r="K47" i="1"/>
  <c r="K50" i="1"/>
  <c r="K51" i="1"/>
  <c r="K54" i="1"/>
  <c r="K55" i="1"/>
  <c r="K58" i="1"/>
  <c r="K59" i="1"/>
  <c r="K62" i="1"/>
  <c r="K63" i="1"/>
  <c r="K66" i="1"/>
  <c r="K67" i="1"/>
  <c r="K70" i="1"/>
  <c r="K71" i="1"/>
  <c r="K74" i="1"/>
  <c r="K75" i="1"/>
  <c r="K78" i="1"/>
  <c r="K79" i="1"/>
  <c r="K82" i="1"/>
  <c r="K83" i="1"/>
  <c r="K86" i="1"/>
  <c r="K87" i="1"/>
  <c r="K90" i="1"/>
  <c r="K91" i="1"/>
  <c r="K94" i="1"/>
  <c r="K95" i="1"/>
  <c r="K98" i="1"/>
  <c r="K99" i="1"/>
  <c r="K102" i="1"/>
  <c r="K103" i="1"/>
  <c r="K106" i="1"/>
  <c r="K107" i="1"/>
  <c r="K110" i="1"/>
  <c r="K111" i="1"/>
  <c r="K114" i="1"/>
  <c r="K115" i="1"/>
  <c r="K118" i="1"/>
  <c r="K119" i="1"/>
  <c r="K122" i="1"/>
  <c r="K123" i="1"/>
  <c r="K126" i="1"/>
  <c r="K127" i="1"/>
  <c r="K130" i="1"/>
  <c r="K131" i="1"/>
  <c r="K134" i="1"/>
  <c r="K135" i="1"/>
  <c r="K138" i="1"/>
  <c r="K139" i="1"/>
  <c r="K142" i="1"/>
  <c r="K143" i="1"/>
  <c r="K146" i="1"/>
  <c r="K147" i="1"/>
  <c r="K150" i="1"/>
  <c r="K151" i="1"/>
  <c r="K154" i="1"/>
  <c r="K155" i="1"/>
  <c r="K158" i="1"/>
  <c r="K159" i="1"/>
  <c r="K162" i="1"/>
  <c r="K163" i="1"/>
  <c r="K167" i="1"/>
  <c r="K171" i="1"/>
  <c r="K175" i="1"/>
  <c r="K179" i="1"/>
  <c r="K183" i="1"/>
  <c r="K187" i="1"/>
  <c r="K191" i="1"/>
  <c r="K195" i="1"/>
  <c r="K199" i="1"/>
  <c r="K3" i="1"/>
  <c r="I39" i="3"/>
  <c r="G39" i="3"/>
  <c r="J4" i="1"/>
  <c r="K4" i="1" s="1"/>
  <c r="J5" i="1"/>
  <c r="K5" i="1" s="1"/>
  <c r="J6" i="1"/>
  <c r="J7" i="1"/>
  <c r="J8" i="1"/>
  <c r="K8" i="1" s="1"/>
  <c r="J9" i="1"/>
  <c r="K9" i="1" s="1"/>
  <c r="J10" i="1"/>
  <c r="J11" i="1"/>
  <c r="J12" i="1"/>
  <c r="K12" i="1" s="1"/>
  <c r="J13" i="1"/>
  <c r="K13" i="1" s="1"/>
  <c r="J14" i="1"/>
  <c r="J15" i="1"/>
  <c r="J16" i="1"/>
  <c r="K16" i="1" s="1"/>
  <c r="J17" i="1"/>
  <c r="K17" i="1" s="1"/>
  <c r="J18" i="1"/>
  <c r="J19" i="1"/>
  <c r="J20" i="1"/>
  <c r="K20" i="1" s="1"/>
  <c r="J21" i="1"/>
  <c r="K21" i="1" s="1"/>
  <c r="J22" i="1"/>
  <c r="J23" i="1"/>
  <c r="J24" i="1"/>
  <c r="K24" i="1" s="1"/>
  <c r="J25" i="1"/>
  <c r="K25" i="1" s="1"/>
  <c r="J26" i="1"/>
  <c r="J27" i="1"/>
  <c r="J28" i="1"/>
  <c r="K28" i="1" s="1"/>
  <c r="J29" i="1"/>
  <c r="K29" i="1" s="1"/>
  <c r="J30" i="1"/>
  <c r="J31" i="1"/>
  <c r="J32" i="1"/>
  <c r="K32" i="1" s="1"/>
  <c r="J33" i="1"/>
  <c r="K33" i="1" s="1"/>
  <c r="J34" i="1"/>
  <c r="J35" i="1"/>
  <c r="J36" i="1"/>
  <c r="K36" i="1" s="1"/>
  <c r="J37" i="1"/>
  <c r="K37" i="1" s="1"/>
  <c r="J38" i="1"/>
  <c r="J39" i="1"/>
  <c r="J40" i="1"/>
  <c r="K40" i="1" s="1"/>
  <c r="J41" i="1"/>
  <c r="K41" i="1" s="1"/>
  <c r="J42" i="1"/>
  <c r="J43" i="1"/>
  <c r="J44" i="1"/>
  <c r="K44" i="1" s="1"/>
  <c r="J45" i="1"/>
  <c r="K45" i="1" s="1"/>
  <c r="J46" i="1"/>
  <c r="J47" i="1"/>
  <c r="J48" i="1"/>
  <c r="K48" i="1" s="1"/>
  <c r="J49" i="1"/>
  <c r="K49" i="1" s="1"/>
  <c r="J50" i="1"/>
  <c r="J51" i="1"/>
  <c r="J52" i="1"/>
  <c r="K52" i="1" s="1"/>
  <c r="J53" i="1"/>
  <c r="K53" i="1" s="1"/>
  <c r="J54" i="1"/>
  <c r="J55" i="1"/>
  <c r="J56" i="1"/>
  <c r="K56" i="1" s="1"/>
  <c r="J57" i="1"/>
  <c r="K57" i="1" s="1"/>
  <c r="J58" i="1"/>
  <c r="J59" i="1"/>
  <c r="J60" i="1"/>
  <c r="K60" i="1" s="1"/>
  <c r="J61" i="1"/>
  <c r="K61" i="1" s="1"/>
  <c r="J62" i="1"/>
  <c r="J63" i="1"/>
  <c r="J64" i="1"/>
  <c r="K64" i="1" s="1"/>
  <c r="J65" i="1"/>
  <c r="K65" i="1" s="1"/>
  <c r="J66" i="1"/>
  <c r="J67" i="1"/>
  <c r="J68" i="1"/>
  <c r="K68" i="1" s="1"/>
  <c r="J69" i="1"/>
  <c r="K69" i="1" s="1"/>
  <c r="J70" i="1"/>
  <c r="J71" i="1"/>
  <c r="J72" i="1"/>
  <c r="K72" i="1" s="1"/>
  <c r="J73" i="1"/>
  <c r="K73" i="1" s="1"/>
  <c r="J74" i="1"/>
  <c r="J75" i="1"/>
  <c r="J76" i="1"/>
  <c r="K76" i="1" s="1"/>
  <c r="J77" i="1"/>
  <c r="K77" i="1" s="1"/>
  <c r="J78" i="1"/>
  <c r="J79" i="1"/>
  <c r="J80" i="1"/>
  <c r="K80" i="1" s="1"/>
  <c r="J81" i="1"/>
  <c r="K81" i="1" s="1"/>
  <c r="J82" i="1"/>
  <c r="J83" i="1"/>
  <c r="J84" i="1"/>
  <c r="K84" i="1" s="1"/>
  <c r="J85" i="1"/>
  <c r="K85" i="1" s="1"/>
  <c r="J86" i="1"/>
  <c r="J87" i="1"/>
  <c r="J88" i="1"/>
  <c r="K88" i="1" s="1"/>
  <c r="J89" i="1"/>
  <c r="K89" i="1" s="1"/>
  <c r="J90" i="1"/>
  <c r="J91" i="1"/>
  <c r="J92" i="1"/>
  <c r="K92" i="1" s="1"/>
  <c r="J93" i="1"/>
  <c r="K93" i="1" s="1"/>
  <c r="J94" i="1"/>
  <c r="J95" i="1"/>
  <c r="J96" i="1"/>
  <c r="K96" i="1" s="1"/>
  <c r="J97" i="1"/>
  <c r="K97" i="1" s="1"/>
  <c r="J98" i="1"/>
  <c r="J99" i="1"/>
  <c r="J100" i="1"/>
  <c r="K100" i="1" s="1"/>
  <c r="J101" i="1"/>
  <c r="K101" i="1" s="1"/>
  <c r="J102" i="1"/>
  <c r="J103" i="1"/>
  <c r="J104" i="1"/>
  <c r="K104" i="1" s="1"/>
  <c r="J105" i="1"/>
  <c r="K105" i="1" s="1"/>
  <c r="J106" i="1"/>
  <c r="J107" i="1"/>
  <c r="J108" i="1"/>
  <c r="K108" i="1" s="1"/>
  <c r="J109" i="1"/>
  <c r="K109" i="1" s="1"/>
  <c r="J110" i="1"/>
  <c r="J111" i="1"/>
  <c r="J112" i="1"/>
  <c r="K112" i="1" s="1"/>
  <c r="J113" i="1"/>
  <c r="K113" i="1" s="1"/>
  <c r="J114" i="1"/>
  <c r="J115" i="1"/>
  <c r="J116" i="1"/>
  <c r="K116" i="1" s="1"/>
  <c r="J117" i="1"/>
  <c r="K117" i="1" s="1"/>
  <c r="J118" i="1"/>
  <c r="J119" i="1"/>
  <c r="J120" i="1"/>
  <c r="K120" i="1" s="1"/>
  <c r="J121" i="1"/>
  <c r="K121" i="1" s="1"/>
  <c r="J122" i="1"/>
  <c r="J123" i="1"/>
  <c r="J124" i="1"/>
  <c r="K124" i="1" s="1"/>
  <c r="J125" i="1"/>
  <c r="K125" i="1" s="1"/>
  <c r="J126" i="1"/>
  <c r="J127" i="1"/>
  <c r="J128" i="1"/>
  <c r="K128" i="1" s="1"/>
  <c r="J129" i="1"/>
  <c r="K129" i="1" s="1"/>
  <c r="J130" i="1"/>
  <c r="J131" i="1"/>
  <c r="J132" i="1"/>
  <c r="K132" i="1" s="1"/>
  <c r="J133" i="1"/>
  <c r="K133" i="1" s="1"/>
  <c r="J134" i="1"/>
  <c r="J135" i="1"/>
  <c r="J136" i="1"/>
  <c r="K136" i="1" s="1"/>
  <c r="J137" i="1"/>
  <c r="K137" i="1" s="1"/>
  <c r="J138" i="1"/>
  <c r="J139" i="1"/>
  <c r="J140" i="1"/>
  <c r="K140" i="1" s="1"/>
  <c r="J141" i="1"/>
  <c r="K141" i="1" s="1"/>
  <c r="J142" i="1"/>
  <c r="J143" i="1"/>
  <c r="J144" i="1"/>
  <c r="K144" i="1" s="1"/>
  <c r="J145" i="1"/>
  <c r="K145" i="1" s="1"/>
  <c r="J146" i="1"/>
  <c r="J147" i="1"/>
  <c r="J148" i="1"/>
  <c r="K148" i="1" s="1"/>
  <c r="J149" i="1"/>
  <c r="K149" i="1" s="1"/>
  <c r="J150" i="1"/>
  <c r="J151" i="1"/>
  <c r="J152" i="1"/>
  <c r="K152" i="1" s="1"/>
  <c r="J153" i="1"/>
  <c r="K153" i="1" s="1"/>
  <c r="J154" i="1"/>
  <c r="J155" i="1"/>
  <c r="J156" i="1"/>
  <c r="K156" i="1" s="1"/>
  <c r="J157" i="1"/>
  <c r="K157" i="1" s="1"/>
  <c r="J158" i="1"/>
  <c r="J159" i="1"/>
  <c r="J160" i="1"/>
  <c r="K160" i="1" s="1"/>
  <c r="J161" i="1"/>
  <c r="K161" i="1" s="1"/>
  <c r="J162" i="1"/>
  <c r="J163" i="1"/>
  <c r="J164" i="1"/>
  <c r="K164" i="1" s="1"/>
  <c r="J165" i="1"/>
  <c r="K165" i="1" s="1"/>
  <c r="J166" i="1"/>
  <c r="K166" i="1" s="1"/>
  <c r="J167" i="1"/>
  <c r="J168" i="1"/>
  <c r="K168" i="1" s="1"/>
  <c r="J169" i="1"/>
  <c r="K169" i="1" s="1"/>
  <c r="J170" i="1"/>
  <c r="K170" i="1" s="1"/>
  <c r="J171" i="1"/>
  <c r="J172" i="1"/>
  <c r="K172" i="1" s="1"/>
  <c r="J173" i="1"/>
  <c r="K173" i="1" s="1"/>
  <c r="J174" i="1"/>
  <c r="K174" i="1" s="1"/>
  <c r="J175" i="1"/>
  <c r="J176" i="1"/>
  <c r="K176" i="1" s="1"/>
  <c r="J177" i="1"/>
  <c r="K177" i="1" s="1"/>
  <c r="J178" i="1"/>
  <c r="K178" i="1" s="1"/>
  <c r="J179" i="1"/>
  <c r="J180" i="1"/>
  <c r="K180" i="1" s="1"/>
  <c r="J181" i="1"/>
  <c r="K181" i="1" s="1"/>
  <c r="J182" i="1"/>
  <c r="K182" i="1" s="1"/>
  <c r="J183" i="1"/>
  <c r="J184" i="1"/>
  <c r="K184" i="1" s="1"/>
  <c r="J185" i="1"/>
  <c r="K185" i="1" s="1"/>
  <c r="J186" i="1"/>
  <c r="K186" i="1" s="1"/>
  <c r="J187" i="1"/>
  <c r="J188" i="1"/>
  <c r="K188" i="1" s="1"/>
  <c r="J189" i="1"/>
  <c r="K189" i="1" s="1"/>
  <c r="J190" i="1"/>
  <c r="K190" i="1" s="1"/>
  <c r="J191" i="1"/>
  <c r="J192" i="1"/>
  <c r="K192" i="1" s="1"/>
  <c r="J193" i="1"/>
  <c r="K193" i="1" s="1"/>
  <c r="J194" i="1"/>
  <c r="K194" i="1" s="1"/>
  <c r="J195" i="1"/>
  <c r="J196" i="1"/>
  <c r="K196" i="1" s="1"/>
  <c r="J197" i="1"/>
  <c r="K197" i="1" s="1"/>
  <c r="J198" i="1"/>
  <c r="K198" i="1" s="1"/>
  <c r="J199" i="1"/>
  <c r="J200" i="1"/>
  <c r="K200" i="1" s="1"/>
  <c r="J201" i="1"/>
  <c r="K201" i="1" s="1"/>
  <c r="J202" i="1"/>
  <c r="K202" i="1" s="1"/>
  <c r="J3" i="1"/>
  <c r="E39" i="3" l="1"/>
  <c r="C39" i="3"/>
  <c r="K39" i="3" s="1"/>
</calcChain>
</file>

<file path=xl/sharedStrings.xml><?xml version="1.0" encoding="utf-8"?>
<sst xmlns="http://schemas.openxmlformats.org/spreadsheetml/2006/main" count="1082" uniqueCount="285">
  <si>
    <t>Order ID</t>
  </si>
  <si>
    <t>Date</t>
  </si>
  <si>
    <t>Customer</t>
  </si>
  <si>
    <t>City</t>
  </si>
  <si>
    <t>Product</t>
  </si>
  <si>
    <t>Category</t>
  </si>
  <si>
    <t>Quantity</t>
  </si>
  <si>
    <t>Price</t>
  </si>
  <si>
    <t>Sales</t>
  </si>
  <si>
    <t>Profit</t>
  </si>
  <si>
    <t>ORD0001</t>
  </si>
  <si>
    <t>Riya Pawar</t>
  </si>
  <si>
    <t>Pune</t>
  </si>
  <si>
    <t>Smartphone</t>
  </si>
  <si>
    <t>Electronics</t>
  </si>
  <si>
    <t>ORD0002</t>
  </si>
  <si>
    <t>Sneha Jadhav</t>
  </si>
  <si>
    <t>Nashik</t>
  </si>
  <si>
    <t>ORD0003</t>
  </si>
  <si>
    <t>Aarav Sharma</t>
  </si>
  <si>
    <t>ORD0004</t>
  </si>
  <si>
    <t>Nikhil Joshi</t>
  </si>
  <si>
    <t>Monitor</t>
  </si>
  <si>
    <t>ORD0005</t>
  </si>
  <si>
    <t>Deepak Jadhav</t>
  </si>
  <si>
    <t>Pen Set</t>
  </si>
  <si>
    <t>Stationery</t>
  </si>
  <si>
    <t>ORD0006</t>
  </si>
  <si>
    <t>Tablet</t>
  </si>
  <si>
    <t>ORD0007</t>
  </si>
  <si>
    <t>Amit Joshi</t>
  </si>
  <si>
    <t>Mouse</t>
  </si>
  <si>
    <t>Accessories</t>
  </si>
  <si>
    <t>ORD0008</t>
  </si>
  <si>
    <t>ORD0009</t>
  </si>
  <si>
    <t>Rahul Desai</t>
  </si>
  <si>
    <t>Ahmedabad</t>
  </si>
  <si>
    <t>Power Bank</t>
  </si>
  <si>
    <t>ORD0010</t>
  </si>
  <si>
    <t>Rohan Gupta</t>
  </si>
  <si>
    <t>Bangalore</t>
  </si>
  <si>
    <t>ORD0011</t>
  </si>
  <si>
    <t>Karan Singh</t>
  </si>
  <si>
    <t>Delhi</t>
  </si>
  <si>
    <t>Keyboard</t>
  </si>
  <si>
    <t>ORD0012</t>
  </si>
  <si>
    <t>Bhavna Shah</t>
  </si>
  <si>
    <t>Backpack</t>
  </si>
  <si>
    <t>Bags</t>
  </si>
  <si>
    <t>ORD0013</t>
  </si>
  <si>
    <t>Notebook</t>
  </si>
  <si>
    <t>ORD0014</t>
  </si>
  <si>
    <t>Priya Deshmukh</t>
  </si>
  <si>
    <t>ORD0015</t>
  </si>
  <si>
    <t>Chetan Pawar</t>
  </si>
  <si>
    <t>USB Drive</t>
  </si>
  <si>
    <t>ORD0016</t>
  </si>
  <si>
    <t>ORD0017</t>
  </si>
  <si>
    <t>ORD0018</t>
  </si>
  <si>
    <t>Office Chair</t>
  </si>
  <si>
    <t>Furniture</t>
  </si>
  <si>
    <t>ORD0019</t>
  </si>
  <si>
    <t>Zoya Khan</t>
  </si>
  <si>
    <t>Desk</t>
  </si>
  <si>
    <t>ORD0020</t>
  </si>
  <si>
    <t>Neha Patil</t>
  </si>
  <si>
    <t>Printer</t>
  </si>
  <si>
    <t>Office Equipment</t>
  </si>
  <si>
    <t>ORD0021</t>
  </si>
  <si>
    <t>ORD0022</t>
  </si>
  <si>
    <t>Manish Chavan</t>
  </si>
  <si>
    <t>ORD0023</t>
  </si>
  <si>
    <t>ORD0024</t>
  </si>
  <si>
    <t>ORD0025</t>
  </si>
  <si>
    <t>ORD0026</t>
  </si>
  <si>
    <t>Vivek More</t>
  </si>
  <si>
    <t>ORD0027</t>
  </si>
  <si>
    <t>ORD0028</t>
  </si>
  <si>
    <t>ORD0029</t>
  </si>
  <si>
    <t>ORD0030</t>
  </si>
  <si>
    <t>Tanvi Shah</t>
  </si>
  <si>
    <t>ORD0031</t>
  </si>
  <si>
    <t>Arjun Mehta</t>
  </si>
  <si>
    <t>Mumbai</t>
  </si>
  <si>
    <t>ORD0032</t>
  </si>
  <si>
    <t>ORD0033</t>
  </si>
  <si>
    <t>ORD0034</t>
  </si>
  <si>
    <t>Akash Kulkarni</t>
  </si>
  <si>
    <t>ORD0035</t>
  </si>
  <si>
    <t>ORD0036</t>
  </si>
  <si>
    <t>Yash Patil</t>
  </si>
  <si>
    <t>ORD0037</t>
  </si>
  <si>
    <t>ORD0038</t>
  </si>
  <si>
    <t>Varun Mehta</t>
  </si>
  <si>
    <t>Headphones</t>
  </si>
  <si>
    <t>ORD0039</t>
  </si>
  <si>
    <t>Isha More</t>
  </si>
  <si>
    <t>ORD0040</t>
  </si>
  <si>
    <t>ORD0041</t>
  </si>
  <si>
    <t>ORD0042</t>
  </si>
  <si>
    <t>ORD0043</t>
  </si>
  <si>
    <t>ORD0044</t>
  </si>
  <si>
    <t>Laptop</t>
  </si>
  <si>
    <t>ORD0045</t>
  </si>
  <si>
    <t>ORD0046</t>
  </si>
  <si>
    <t>ORD0047</t>
  </si>
  <si>
    <t>ORD0048</t>
  </si>
  <si>
    <t>ORD0049</t>
  </si>
  <si>
    <t>Aditi Patil</t>
  </si>
  <si>
    <t>ORD0050</t>
  </si>
  <si>
    <t>ORD0051</t>
  </si>
  <si>
    <t>ORD0052</t>
  </si>
  <si>
    <t>ORD0053</t>
  </si>
  <si>
    <t>ORD0054</t>
  </si>
  <si>
    <t>ORD0055</t>
  </si>
  <si>
    <t>ORD0056</t>
  </si>
  <si>
    <t>ORD0057</t>
  </si>
  <si>
    <t>ORD0058</t>
  </si>
  <si>
    <t>ORD0059</t>
  </si>
  <si>
    <t>ORD0060</t>
  </si>
  <si>
    <t>Diya Gupta</t>
  </si>
  <si>
    <t>ORD0061</t>
  </si>
  <si>
    <t>ORD0062</t>
  </si>
  <si>
    <t>ORD0063</t>
  </si>
  <si>
    <t>Sahil Khan</t>
  </si>
  <si>
    <t>ORD0064</t>
  </si>
  <si>
    <t>ORD0065</t>
  </si>
  <si>
    <t>ORD0066</t>
  </si>
  <si>
    <t>ORD0067</t>
  </si>
  <si>
    <t>ORD0068</t>
  </si>
  <si>
    <t>ORD0069</t>
  </si>
  <si>
    <t>ORD0070</t>
  </si>
  <si>
    <t>ORD0071</t>
  </si>
  <si>
    <t>ORD0072</t>
  </si>
  <si>
    <t>ORD0073</t>
  </si>
  <si>
    <t>ORD0074</t>
  </si>
  <si>
    <t>ORD0075</t>
  </si>
  <si>
    <t>ORD0076</t>
  </si>
  <si>
    <t>ORD0077</t>
  </si>
  <si>
    <t>ORD0078</t>
  </si>
  <si>
    <t>Harsh Verma</t>
  </si>
  <si>
    <t>ORD0079</t>
  </si>
  <si>
    <t>ORD0080</t>
  </si>
  <si>
    <t>Kavya Nair</t>
  </si>
  <si>
    <t>ORD0081</t>
  </si>
  <si>
    <t>ORD0082</t>
  </si>
  <si>
    <t>ORD0083</t>
  </si>
  <si>
    <t>ORD0084</t>
  </si>
  <si>
    <t>ORD0085</t>
  </si>
  <si>
    <t>ORD0086</t>
  </si>
  <si>
    <t>ORD0087</t>
  </si>
  <si>
    <t>ORD0088</t>
  </si>
  <si>
    <t>ORD0089</t>
  </si>
  <si>
    <t>ORD0090</t>
  </si>
  <si>
    <t>ORD0091</t>
  </si>
  <si>
    <t>ORD0092</t>
  </si>
  <si>
    <t>ORD0093</t>
  </si>
  <si>
    <t>Pooja Sharma</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</si>
  <si>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</si>
  <si>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</si>
  <si>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</si>
  <si>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</si>
  <si>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</si>
  <si>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</si>
  <si>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</si>
  <si>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</si>
  <si>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</si>
  <si>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</si>
  <si>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</si>
  <si>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</si>
  <si>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</si>
  <si>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</si>
  <si>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</si>
  <si>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</si>
  <si>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</si>
  <si>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</si>
  <si>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Ananya Deshmukh</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</si>
  <si>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</si>
  <si>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</si>
  <si>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</si>
  <si>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</si>
  <si>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</si>
  <si>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</si>
  <si>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</si>
  <si>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</si>
  <si>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</si>
  <si>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</si>
  <si>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</si>
  <si>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</si>
  <si>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</si>
  <si>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</si>
  <si>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</si>
  <si>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</si>
  <si>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</si>
  <si>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</si>
  <si>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</si>
  <si>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</si>
  <si>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</si>
  <si>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</si>
  <si>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</si>
  <si>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</si>
  <si>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</si>
  <si>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</si>
  <si>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</si>
  <si>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</si>
  <si>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</si>
  <si>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</si>
  <si>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</si>
  <si>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</si>
  <si>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</si>
  <si>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</si>
  <si>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Meera Kulkarni</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</si>
  <si>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</si>
  <si>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</si>
  <si>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</si>
  <si>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</si>
  <si>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</si>
  <si>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</si>
  <si>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</si>
  <si>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</si>
  <si>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</si>
  <si>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</si>
  <si>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</si>
  <si>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</si>
  <si>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</si>
  <si>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</si>
  <si>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</si>
  <si>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</si>
  <si>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</si>
  <si>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</si>
  <si>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</si>
  <si>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</si>
  <si>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</si>
  <si>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</si>
  <si>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</si>
  <si>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</si>
  <si>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</si>
  <si>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</si>
  <si>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</si>
  <si>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</si>
  <si>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</si>
  <si>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</si>
  <si>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</si>
  <si>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</si>
  <si>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</si>
  <si>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</si>
  <si>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</si>
  <si>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</si>
  <si>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</si>
  <si>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</si>
  <si>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</si>
  <si>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</si>
  <si>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</si>
  <si>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</si>
  <si>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</si>
  <si>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</si>
  <si>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</si>
  <si>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</si>
  <si>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</si>
  <si>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</si>
  <si>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</si>
  <si>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</si>
  <si>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</si>
  <si>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</si>
  <si>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</si>
  <si>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</si>
  <si>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</si>
  <si>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Sum of Sales</t>
  </si>
  <si>
    <t>Grand Total</t>
  </si>
  <si>
    <t>Jan</t>
  </si>
  <si>
    <t>Feb</t>
  </si>
  <si>
    <t>Mar</t>
  </si>
  <si>
    <t>Apr</t>
  </si>
  <si>
    <t>May</t>
  </si>
  <si>
    <t>Jun</t>
  </si>
  <si>
    <t>Jul</t>
  </si>
  <si>
    <t>Sum of Profit</t>
  </si>
  <si>
    <t>PIVOT TABLES &amp; CHARTS :-</t>
  </si>
  <si>
    <t>Months</t>
  </si>
  <si>
    <t>Total Sales</t>
  </si>
  <si>
    <t>Total Profit</t>
  </si>
  <si>
    <t>Total Quantity</t>
  </si>
  <si>
    <t>Total Orders</t>
  </si>
  <si>
    <t>Average Order Value</t>
  </si>
  <si>
    <t>KPI's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</si>
</sst>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0.00"/>
    <numFmt numFmtId="166" formatCode="\₹#,##0.0"/>
    <numFmt numFmtId="167" formatCode="\₹\ 0.0,,&quot; M&quot;"/>
    <numFmt numFmtId="168" formatCode="0.0,&quot; K&quot;"/>
    <numFmt numFmtId="169" formatCode="\₹\ 0.0,&quot; K&quot;"/>
  </numFmts>
  <fonts count="4" x14ac:knownFonts="1">
    <font>
      <sz val="11"/>
      <color theme="1"/>
      <name val="Calibri"/>
      <family val="2"/>
      <scheme val="minor"/>
    </font>
    <font>
      <b/>
      <sz val="11"/>
      <name val="Calibri"/>
      <family val="2"/>
    </font>
    <font>
      <sz val="8"/>
      <name val="Calibri"/>
      <family val="2"/>
      <scheme val="minor"/>
    </font>
    <font>
      <b/>
      <sz val="16"/>
      <color theme="1"/>
      <name val="Algerian"/>
      <family val="5"/>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s>
  <cellStyleXfs count="1">
    <xf numFmtId="0" fontId="0" fillId="0" borderId="0"/>
  </cellStyleXfs>
  <cellXfs count="22">
    <xf numFmtId="0" fontId="0" fillId="0" borderId="0" xfId="0"/>
    <xf numFmtId="165" fontId="0" fillId="0" borderId="0" xfId="0" applyNumberFormat="1"/>
    <xf numFmtId="0" fontId="0" fillId="0" borderId="1" xfId="0" pivotButton="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65" fontId="0" fillId="0" borderId="1" xfId="0" applyNumberFormat="1" applyBorder="1" applyAlignment="1">
      <alignment horizontal="center"/>
    </xf>
    <xf numFmtId="0" fontId="3" fillId="2" borderId="0" xfId="0" applyFont="1" applyFill="1"/>
    <xf numFmtId="0" fontId="0" fillId="2" borderId="0" xfId="0" applyFill="1"/>
    <xf numFmtId="164" fontId="0" fillId="0" borderId="1" xfId="0" applyNumberFormat="1" applyBorder="1" applyAlignment="1">
      <alignment horizontal="center"/>
    </xf>
    <xf numFmtId="1" fontId="0" fillId="0" borderId="1" xfId="0" applyNumberFormat="1" applyBorder="1" applyAlignment="1">
      <alignment horizontal="center"/>
    </xf>
    <xf numFmtId="164" fontId="0" fillId="0" borderId="4" xfId="0" applyNumberFormat="1" applyBorder="1" applyAlignment="1">
      <alignment horizontal="center"/>
    </xf>
    <xf numFmtId="0" fontId="0" fillId="0" borderId="4" xfId="0" applyBorder="1" applyAlignment="1">
      <alignment horizontal="center"/>
    </xf>
    <xf numFmtId="165" fontId="0" fillId="0" borderId="4" xfId="0" applyNumberFormat="1" applyBorder="1" applyAlignment="1">
      <alignment horizontal="center"/>
    </xf>
    <xf numFmtId="0" fontId="1" fillId="0" borderId="2" xfId="0" applyFont="1" applyBorder="1" applyAlignment="1">
      <alignment horizontal="center" vertical="top"/>
    </xf>
    <xf numFmtId="0" fontId="0" fillId="0" borderId="0" xfId="0" applyAlignment="1">
      <alignment horizontal="center"/>
    </xf>
    <xf numFmtId="2" fontId="0" fillId="0" borderId="3" xfId="0" applyNumberFormat="1" applyBorder="1" applyAlignment="1">
      <alignment horizontal="center"/>
    </xf>
    <xf numFmtId="2" fontId="0" fillId="0" borderId="6" xfId="0" applyNumberFormat="1" applyBorder="1" applyAlignment="1">
      <alignment horizontal="center"/>
    </xf>
    <xf numFmtId="0" fontId="0" fillId="3" borderId="0" xfId="0" applyFill="1"/>
    <xf numFmtId="166" fontId="0" fillId="0" borderId="5" xfId="0" applyNumberFormat="1" applyBorder="1" applyAlignment="1">
      <alignment horizontal="center"/>
    </xf>
    <xf numFmtId="167" fontId="0" fillId="0" borderId="1" xfId="0" applyNumberFormat="1" applyBorder="1" applyAlignment="1">
      <alignment horizontal="center"/>
    </xf>
    <xf numFmtId="168" fontId="0" fillId="0" borderId="1" xfId="0" applyNumberFormat="1" applyBorder="1" applyAlignment="1">
      <alignment horizontal="center"/>
    </xf>
    <xf numFmtId="169" fontId="0" fillId="0" borderId="1" xfId="0" applyNumberFormat="1" applyBorder="1" applyAlignment="1">
      <alignment horizontal="center"/>
    </xf>
  </cellXfs>
  <cellStyles count="1">
    <cellStyle name="Normal" xfId="0" builtinId="0"/>
  </cellStyles>
  <dxfs count="8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6" formatCode="\₹#,##0.0"/>
      <alignment horizontal="center" vertical="bottom" textRotation="0" wrapText="0" indent="0" justifyLastLine="0" shrinkToFit="0" readingOrder="0"/>
      <border diagonalUp="0" diagonalDown="0" outline="0">
        <left style="thin">
          <color auto="1"/>
        </left>
        <right style="medium">
          <color indexed="64"/>
        </right>
        <top style="thin">
          <color auto="1"/>
        </top>
        <bottom style="thin">
          <color auto="1"/>
        </bottom>
      </border>
    </dxf>
    <dxf>
      <numFmt numFmtId="165"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5"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4" formatCode="dd\-mm\-yyyy"/>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style="medium">
          <color indexed="64"/>
        </left>
        <right style="thin">
          <color auto="1"/>
        </right>
        <top style="thin">
          <color auto="1"/>
        </top>
        <bottom style="thin">
          <color auto="1"/>
        </bottom>
      </border>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16EBF6"/>
      <color rgb="FFFAA4E6"/>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Tables!Top Products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Top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Tables'!$AA$3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Tables'!$Z$4:$Z$19</c:f>
              <c:strCache>
                <c:ptCount val="15"/>
                <c:pt idx="0">
                  <c:v>Backpack</c:v>
                </c:pt>
                <c:pt idx="1">
                  <c:v>Desk</c:v>
                </c:pt>
                <c:pt idx="2">
                  <c:v>Headphones</c:v>
                </c:pt>
                <c:pt idx="3">
                  <c:v>Keyboard</c:v>
                </c:pt>
                <c:pt idx="4">
                  <c:v>Laptop</c:v>
                </c:pt>
                <c:pt idx="5">
                  <c:v>Monitor</c:v>
                </c:pt>
                <c:pt idx="6">
                  <c:v>Mouse</c:v>
                </c:pt>
                <c:pt idx="7">
                  <c:v>Notebook</c:v>
                </c:pt>
                <c:pt idx="8">
                  <c:v>Office Chair</c:v>
                </c:pt>
                <c:pt idx="9">
                  <c:v>Pen Set</c:v>
                </c:pt>
                <c:pt idx="10">
                  <c:v>Power Bank</c:v>
                </c:pt>
                <c:pt idx="11">
                  <c:v>Printer</c:v>
                </c:pt>
                <c:pt idx="12">
                  <c:v>Smartphone</c:v>
                </c:pt>
                <c:pt idx="13">
                  <c:v>Tablet</c:v>
                </c:pt>
                <c:pt idx="14">
                  <c:v>USB Drive</c:v>
                </c:pt>
              </c:strCache>
            </c:strRef>
          </c:cat>
          <c:val>
            <c:numRef>
              <c:f>'Pivot Tables'!$AA$4:$AA$19</c:f>
              <c:numCache>
                <c:formatCode>0.00%</c:formatCode>
                <c:ptCount val="15"/>
                <c:pt idx="0">
                  <c:v>1.5283219548557766E-2</c:v>
                </c:pt>
                <c:pt idx="1">
                  <c:v>9.4897411888766672E-2</c:v>
                </c:pt>
                <c:pt idx="2">
                  <c:v>1.1681499595465578E-2</c:v>
                </c:pt>
                <c:pt idx="3">
                  <c:v>2.39229839186204E-2</c:v>
                </c:pt>
                <c:pt idx="4">
                  <c:v>0.18799487286710362</c:v>
                </c:pt>
                <c:pt idx="5">
                  <c:v>9.0270265356399371E-2</c:v>
                </c:pt>
                <c:pt idx="6">
                  <c:v>7.2734379971455326E-3</c:v>
                </c:pt>
                <c:pt idx="7">
                  <c:v>2.8340136178104233E-3</c:v>
                </c:pt>
                <c:pt idx="8">
                  <c:v>3.7012626928356503E-2</c:v>
                </c:pt>
                <c:pt idx="9">
                  <c:v>1.5367762697380981E-3</c:v>
                </c:pt>
                <c:pt idx="10">
                  <c:v>2.8779215112315119E-2</c:v>
                </c:pt>
                <c:pt idx="11">
                  <c:v>0.11039698917302256</c:v>
                </c:pt>
                <c:pt idx="12">
                  <c:v>0.27719244020617617</c:v>
                </c:pt>
                <c:pt idx="13">
                  <c:v>0.10519713098733671</c:v>
                </c:pt>
                <c:pt idx="14">
                  <c:v>5.7271165331854584E-3</c:v>
                </c:pt>
              </c:numCache>
            </c:numRef>
          </c:val>
          <c:extLst>
            <c:ext xmlns:c16="http://schemas.microsoft.com/office/drawing/2014/chart" uri="{C3380CC4-5D6E-409C-BE32-E72D297353CC}">
              <c16:uniqueId val="{00000000-FCD4-466F-ADC1-713CE137D7A9}"/>
            </c:ext>
          </c:extLst>
        </c:ser>
        <c:dLbls>
          <c:showLegendKey val="0"/>
          <c:showVal val="1"/>
          <c:showCatName val="0"/>
          <c:showSerName val="0"/>
          <c:showPercent val="0"/>
          <c:showBubbleSize val="0"/>
        </c:dLbls>
        <c:gapWidth val="150"/>
        <c:shape val="box"/>
        <c:axId val="642764880"/>
        <c:axId val="653811856"/>
        <c:axId val="0"/>
      </c:bar3DChart>
      <c:catAx>
        <c:axId val="6427648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11856"/>
        <c:crosses val="autoZero"/>
        <c:auto val="1"/>
        <c:lblAlgn val="ctr"/>
        <c:lblOffset val="100"/>
        <c:noMultiLvlLbl val="0"/>
      </c:catAx>
      <c:valAx>
        <c:axId val="6538118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76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by City</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u="sng">
                <a:solidFill>
                  <a:schemeClr val="tx1"/>
                </a:solidFill>
              </a:rPr>
              <a:t>Sales by City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Tables'!$L$3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Tables'!$K$4:$K$10</c:f>
              <c:strCache>
                <c:ptCount val="6"/>
                <c:pt idx="0">
                  <c:v>Ahmedabad</c:v>
                </c:pt>
                <c:pt idx="1">
                  <c:v>Bangalore</c:v>
                </c:pt>
                <c:pt idx="2">
                  <c:v>Delhi</c:v>
                </c:pt>
                <c:pt idx="3">
                  <c:v>Mumbai</c:v>
                </c:pt>
                <c:pt idx="4">
                  <c:v>Nashik</c:v>
                </c:pt>
                <c:pt idx="5">
                  <c:v>Pune</c:v>
                </c:pt>
              </c:strCache>
            </c:strRef>
          </c:cat>
          <c:val>
            <c:numRef>
              <c:f>'Pivot Tables'!$L$4:$L$10</c:f>
              <c:numCache>
                <c:formatCode>0.00%</c:formatCode>
                <c:ptCount val="6"/>
                <c:pt idx="0">
                  <c:v>5.0051362235575395E-2</c:v>
                </c:pt>
                <c:pt idx="1">
                  <c:v>0.15669754461241966</c:v>
                </c:pt>
                <c:pt idx="2">
                  <c:v>0.13856849358653855</c:v>
                </c:pt>
                <c:pt idx="3">
                  <c:v>0.18179458742034307</c:v>
                </c:pt>
                <c:pt idx="4">
                  <c:v>0.25524940228902848</c:v>
                </c:pt>
                <c:pt idx="5">
                  <c:v>0.21763860985609484</c:v>
                </c:pt>
              </c:numCache>
            </c:numRef>
          </c:val>
          <c:extLst>
            <c:ext xmlns:c16="http://schemas.microsoft.com/office/drawing/2014/chart" uri="{C3380CC4-5D6E-409C-BE32-E72D297353CC}">
              <c16:uniqueId val="{00000000-292D-49AF-86BE-B9DFF93E5535}"/>
            </c:ext>
          </c:extLst>
        </c:ser>
        <c:dLbls>
          <c:showLegendKey val="0"/>
          <c:showVal val="0"/>
          <c:showCatName val="0"/>
          <c:showSerName val="0"/>
          <c:showPercent val="0"/>
          <c:showBubbleSize val="0"/>
        </c:dLbls>
        <c:gapWidth val="150"/>
        <c:shape val="box"/>
        <c:axId val="803193552"/>
        <c:axId val="653868496"/>
        <c:axId val="0"/>
      </c:bar3DChart>
      <c:catAx>
        <c:axId val="80319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68496"/>
        <c:crosses val="autoZero"/>
        <c:auto val="1"/>
        <c:lblAlgn val="ctr"/>
        <c:lblOffset val="100"/>
        <c:noMultiLvlLbl val="0"/>
      </c:catAx>
      <c:valAx>
        <c:axId val="653868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9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Tables!Profit by Category</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Tables'!$P$3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2A9-4644-ADC3-495DBBDF0C8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2A9-4644-ADC3-495DBBDF0C8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2A9-4644-ADC3-495DBBDF0C8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2A9-4644-ADC3-495DBBDF0C8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2A9-4644-ADC3-495DBBDF0C8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2A9-4644-ADC3-495DBBDF0C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Tables'!$O$4:$O$10</c:f>
              <c:strCache>
                <c:ptCount val="6"/>
                <c:pt idx="0">
                  <c:v>Accessories</c:v>
                </c:pt>
                <c:pt idx="1">
                  <c:v>Bags</c:v>
                </c:pt>
                <c:pt idx="2">
                  <c:v>Electronics</c:v>
                </c:pt>
                <c:pt idx="3">
                  <c:v>Furniture</c:v>
                </c:pt>
                <c:pt idx="4">
                  <c:v>Office Equipment</c:v>
                </c:pt>
                <c:pt idx="5">
                  <c:v>Stationery</c:v>
                </c:pt>
              </c:strCache>
            </c:strRef>
          </c:cat>
          <c:val>
            <c:numRef>
              <c:f>'Pivot Tables'!$P$4:$P$10</c:f>
              <c:numCache>
                <c:formatCode>0.00%</c:formatCode>
                <c:ptCount val="6"/>
                <c:pt idx="0">
                  <c:v>4.9954957441194749E-2</c:v>
                </c:pt>
                <c:pt idx="1">
                  <c:v>1.598211516811527E-2</c:v>
                </c:pt>
                <c:pt idx="2">
                  <c:v>0.68125416149401674</c:v>
                </c:pt>
                <c:pt idx="3">
                  <c:v>0.14077274096629372</c:v>
                </c:pt>
                <c:pt idx="4">
                  <c:v>0.10796907868169671</c:v>
                </c:pt>
                <c:pt idx="5">
                  <c:v>4.0669462486827863E-3</c:v>
                </c:pt>
              </c:numCache>
            </c:numRef>
          </c:val>
          <c:extLst>
            <c:ext xmlns:c16="http://schemas.microsoft.com/office/drawing/2014/chart" uri="{C3380CC4-5D6E-409C-BE32-E72D297353CC}">
              <c16:uniqueId val="{00000000-25D5-4649-A39B-6B35902CD57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3.4406910968190027E-2"/>
          <c:y val="0.77453842809526108"/>
          <c:w val="0.93966794227057493"/>
          <c:h val="0.2009216946041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and Profit</c:name>
    <c:fmtId val="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Tables'!$T$3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Tables'!$S$4:$S$10</c:f>
              <c:strCache>
                <c:ptCount val="6"/>
                <c:pt idx="0">
                  <c:v>Accessories</c:v>
                </c:pt>
                <c:pt idx="1">
                  <c:v>Bags</c:v>
                </c:pt>
                <c:pt idx="2">
                  <c:v>Electronics</c:v>
                </c:pt>
                <c:pt idx="3">
                  <c:v>Furniture</c:v>
                </c:pt>
                <c:pt idx="4">
                  <c:v>Office Equipment</c:v>
                </c:pt>
                <c:pt idx="5">
                  <c:v>Stationery</c:v>
                </c:pt>
              </c:strCache>
            </c:strRef>
          </c:cat>
          <c:val>
            <c:numRef>
              <c:f>'Pivot Tables'!$T$4:$T$10</c:f>
              <c:numCache>
                <c:formatCode>General</c:formatCode>
                <c:ptCount val="6"/>
                <c:pt idx="0">
                  <c:v>46466.339999999989</c:v>
                </c:pt>
                <c:pt idx="1">
                  <c:v>14866</c:v>
                </c:pt>
                <c:pt idx="2">
                  <c:v>633678.60000000021</c:v>
                </c:pt>
                <c:pt idx="3">
                  <c:v>130941.83999999997</c:v>
                </c:pt>
                <c:pt idx="4">
                  <c:v>100429.02999999998</c:v>
                </c:pt>
                <c:pt idx="5">
                  <c:v>3782.9300000000003</c:v>
                </c:pt>
              </c:numCache>
            </c:numRef>
          </c:val>
          <c:extLst>
            <c:ext xmlns:c16="http://schemas.microsoft.com/office/drawing/2014/chart" uri="{C3380CC4-5D6E-409C-BE32-E72D297353CC}">
              <c16:uniqueId val="{00000000-4DB7-45D2-B915-6D77BAEC33A7}"/>
            </c:ext>
          </c:extLst>
        </c:ser>
        <c:dLbls>
          <c:showLegendKey val="0"/>
          <c:showVal val="0"/>
          <c:showCatName val="0"/>
          <c:showSerName val="0"/>
          <c:showPercent val="0"/>
          <c:showBubbleSize val="0"/>
        </c:dLbls>
        <c:gapWidth val="150"/>
        <c:overlap val="100"/>
        <c:axId val="1054791232"/>
        <c:axId val="653845936"/>
      </c:barChart>
      <c:lineChart>
        <c:grouping val="stacked"/>
        <c:varyColors val="0"/>
        <c:ser>
          <c:idx val="1"/>
          <c:order val="1"/>
          <c:tx>
            <c:strRef>
              <c:f>'Pivot Tables'!$U$3</c:f>
              <c:strCache>
                <c:ptCount val="1"/>
                <c:pt idx="0">
                  <c:v>Sum of Sales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Tables'!$S$4:$S$10</c:f>
              <c:strCache>
                <c:ptCount val="6"/>
                <c:pt idx="0">
                  <c:v>Accessories</c:v>
                </c:pt>
                <c:pt idx="1">
                  <c:v>Bags</c:v>
                </c:pt>
                <c:pt idx="2">
                  <c:v>Electronics</c:v>
                </c:pt>
                <c:pt idx="3">
                  <c:v>Furniture</c:v>
                </c:pt>
                <c:pt idx="4">
                  <c:v>Office Equipment</c:v>
                </c:pt>
                <c:pt idx="5">
                  <c:v>Stationery</c:v>
                </c:pt>
              </c:strCache>
            </c:strRef>
          </c:cat>
          <c:val>
            <c:numRef>
              <c:f>'Pivot Tables'!$U$4:$U$10</c:f>
              <c:numCache>
                <c:formatCode>\₹#,##0.00</c:formatCode>
                <c:ptCount val="6"/>
                <c:pt idx="0">
                  <c:v>267335</c:v>
                </c:pt>
                <c:pt idx="1">
                  <c:v>84060</c:v>
                </c:pt>
                <c:pt idx="2">
                  <c:v>3791990</c:v>
                </c:pt>
                <c:pt idx="3">
                  <c:v>725525</c:v>
                </c:pt>
                <c:pt idx="4">
                  <c:v>607200</c:v>
                </c:pt>
                <c:pt idx="5">
                  <c:v>24040</c:v>
                </c:pt>
              </c:numCache>
            </c:numRef>
          </c:val>
          <c:smooth val="0"/>
          <c:extLst>
            <c:ext xmlns:c16="http://schemas.microsoft.com/office/drawing/2014/chart" uri="{C3380CC4-5D6E-409C-BE32-E72D297353CC}">
              <c16:uniqueId val="{00000001-4DB7-45D2-B915-6D77BAEC33A7}"/>
            </c:ext>
          </c:extLst>
        </c:ser>
        <c:dLbls>
          <c:showLegendKey val="0"/>
          <c:showVal val="0"/>
          <c:showCatName val="0"/>
          <c:showSerName val="0"/>
          <c:showPercent val="0"/>
          <c:showBubbleSize val="0"/>
        </c:dLbls>
        <c:marker val="1"/>
        <c:smooth val="0"/>
        <c:axId val="1054791232"/>
        <c:axId val="653845936"/>
      </c:lineChart>
      <c:catAx>
        <c:axId val="1054791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45936"/>
        <c:crosses val="autoZero"/>
        <c:auto val="1"/>
        <c:lblAlgn val="ctr"/>
        <c:lblOffset val="100"/>
        <c:noMultiLvlLbl val="0"/>
      </c:catAx>
      <c:valAx>
        <c:axId val="65384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79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by category</c:name>
    <c:fmtId val="0"/>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u="none">
                <a:solidFill>
                  <a:schemeClr val="tx1"/>
                </a:solidFill>
              </a:rPr>
              <a:t>Sales by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s>
    <c:plotArea>
      <c:layout/>
      <c:doughnutChart>
        <c:varyColors val="1"/>
        <c:ser>
          <c:idx val="0"/>
          <c:order val="0"/>
          <c:tx>
            <c:strRef>
              <c:f>'Pivot Tables'!$H$3</c:f>
              <c:strCache>
                <c:ptCount val="1"/>
                <c:pt idx="0">
                  <c:v>Total</c:v>
                </c:pt>
              </c:strCache>
            </c:strRef>
          </c:tx>
          <c:spPr>
            <a:scene3d>
              <a:camera prst="orthographicFront"/>
              <a:lightRig rig="threePt" dir="t"/>
            </a:scene3d>
            <a:sp3d>
              <a:bevelT/>
            </a:sp3d>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01-7301-4BB6-A630-21648A84D4F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03-7301-4BB6-A630-21648A84D4F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05-7301-4BB6-A630-21648A84D4F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07-7301-4BB6-A630-21648A84D4F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09-7301-4BB6-A630-21648A84D4F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0B-7301-4BB6-A630-21648A84D4F0}"/>
              </c:ext>
            </c:extLst>
          </c:dPt>
          <c:cat>
            <c:strRef>
              <c:f>'Pivot Tables'!$G$4:$G$10</c:f>
              <c:strCache>
                <c:ptCount val="6"/>
                <c:pt idx="0">
                  <c:v>Accessories</c:v>
                </c:pt>
                <c:pt idx="1">
                  <c:v>Bags</c:v>
                </c:pt>
                <c:pt idx="2">
                  <c:v>Electronics</c:v>
                </c:pt>
                <c:pt idx="3">
                  <c:v>Furniture</c:v>
                </c:pt>
                <c:pt idx="4">
                  <c:v>Office Equipment</c:v>
                </c:pt>
                <c:pt idx="5">
                  <c:v>Stationery</c:v>
                </c:pt>
              </c:strCache>
            </c:strRef>
          </c:cat>
          <c:val>
            <c:numRef>
              <c:f>'Pivot Tables'!$H$4:$H$10</c:f>
              <c:numCache>
                <c:formatCode>0.00%</c:formatCode>
                <c:ptCount val="6"/>
                <c:pt idx="0">
                  <c:v>4.8605038044416973E-2</c:v>
                </c:pt>
                <c:pt idx="1">
                  <c:v>1.5283219548557766E-2</c:v>
                </c:pt>
                <c:pt idx="2">
                  <c:v>0.68943392452933105</c:v>
                </c:pt>
                <c:pt idx="3">
                  <c:v>0.13191003881712318</c:v>
                </c:pt>
                <c:pt idx="4">
                  <c:v>0.11039698917302256</c:v>
                </c:pt>
                <c:pt idx="5">
                  <c:v>4.3707898875485216E-3</c:v>
                </c:pt>
              </c:numCache>
            </c:numRef>
          </c:val>
          <c:extLst>
            <c:ext xmlns:c16="http://schemas.microsoft.com/office/drawing/2014/chart" uri="{C3380CC4-5D6E-409C-BE32-E72D297353CC}">
              <c16:uniqueId val="{00000000-E078-493A-9B98-C23E841BD1BE}"/>
            </c:ext>
          </c:extLst>
        </c:ser>
        <c:dLbls>
          <c:showLegendKey val="0"/>
          <c:showVal val="0"/>
          <c:showCatName val="0"/>
          <c:showSerName val="0"/>
          <c:showPercent val="0"/>
          <c:showBubbleSize val="0"/>
          <c:showLeaderLines val="1"/>
        </c:dLbls>
        <c:firstSliceAng val="53"/>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by Month</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Tables'!$C$4:$C$11</c:f>
              <c:strCache>
                <c:ptCount val="7"/>
                <c:pt idx="0">
                  <c:v>Jan</c:v>
                </c:pt>
                <c:pt idx="1">
                  <c:v>Feb</c:v>
                </c:pt>
                <c:pt idx="2">
                  <c:v>Mar</c:v>
                </c:pt>
                <c:pt idx="3">
                  <c:v>Apr</c:v>
                </c:pt>
                <c:pt idx="4">
                  <c:v>May</c:v>
                </c:pt>
                <c:pt idx="5">
                  <c:v>Jun</c:v>
                </c:pt>
                <c:pt idx="6">
                  <c:v>Jul</c:v>
                </c:pt>
              </c:strCache>
            </c:strRef>
          </c:cat>
          <c:val>
            <c:numRef>
              <c:f>'Pivot Tables'!$D$4:$D$11</c:f>
              <c:numCache>
                <c:formatCode>0.00%</c:formatCode>
                <c:ptCount val="7"/>
                <c:pt idx="0">
                  <c:v>0.11856767542703381</c:v>
                </c:pt>
                <c:pt idx="1">
                  <c:v>8.6127196531003702E-2</c:v>
                </c:pt>
                <c:pt idx="2">
                  <c:v>0.28534903593538358</c:v>
                </c:pt>
                <c:pt idx="3">
                  <c:v>0.21541867039989818</c:v>
                </c:pt>
                <c:pt idx="4">
                  <c:v>0.17620064907320709</c:v>
                </c:pt>
                <c:pt idx="5">
                  <c:v>0.11015517758606583</c:v>
                </c:pt>
                <c:pt idx="6">
                  <c:v>8.181595047407798E-3</c:v>
                </c:pt>
              </c:numCache>
            </c:numRef>
          </c:val>
          <c:smooth val="0"/>
          <c:extLst>
            <c:ext xmlns:c16="http://schemas.microsoft.com/office/drawing/2014/chart" uri="{C3380CC4-5D6E-409C-BE32-E72D297353CC}">
              <c16:uniqueId val="{00000000-1B76-4BC4-89B5-D7EE403C6BB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95806992"/>
        <c:axId val="653872816"/>
      </c:lineChart>
      <c:catAx>
        <c:axId val="8958069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53872816"/>
        <c:crosses val="autoZero"/>
        <c:auto val="1"/>
        <c:lblAlgn val="ctr"/>
        <c:lblOffset val="100"/>
        <c:noMultiLvlLbl val="0"/>
      </c:catAx>
      <c:valAx>
        <c:axId val="653872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58069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by Month</c:name>
    <c:fmtId val="1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Tables'!$C$4:$C$11</c:f>
              <c:strCache>
                <c:ptCount val="7"/>
                <c:pt idx="0">
                  <c:v>Jan</c:v>
                </c:pt>
                <c:pt idx="1">
                  <c:v>Feb</c:v>
                </c:pt>
                <c:pt idx="2">
                  <c:v>Mar</c:v>
                </c:pt>
                <c:pt idx="3">
                  <c:v>Apr</c:v>
                </c:pt>
                <c:pt idx="4">
                  <c:v>May</c:v>
                </c:pt>
                <c:pt idx="5">
                  <c:v>Jun</c:v>
                </c:pt>
                <c:pt idx="6">
                  <c:v>Jul</c:v>
                </c:pt>
              </c:strCache>
            </c:strRef>
          </c:cat>
          <c:val>
            <c:numRef>
              <c:f>'Pivot Tables'!$D$4:$D$11</c:f>
              <c:numCache>
                <c:formatCode>0.00%</c:formatCode>
                <c:ptCount val="7"/>
                <c:pt idx="0">
                  <c:v>0.11856767542703381</c:v>
                </c:pt>
                <c:pt idx="1">
                  <c:v>8.6127196531003702E-2</c:v>
                </c:pt>
                <c:pt idx="2">
                  <c:v>0.28534903593538358</c:v>
                </c:pt>
                <c:pt idx="3">
                  <c:v>0.21541867039989818</c:v>
                </c:pt>
                <c:pt idx="4">
                  <c:v>0.17620064907320709</c:v>
                </c:pt>
                <c:pt idx="5">
                  <c:v>0.11015517758606583</c:v>
                </c:pt>
                <c:pt idx="6">
                  <c:v>8.181595047407798E-3</c:v>
                </c:pt>
              </c:numCache>
            </c:numRef>
          </c:val>
          <c:smooth val="0"/>
          <c:extLst>
            <c:ext xmlns:c16="http://schemas.microsoft.com/office/drawing/2014/chart" uri="{C3380CC4-5D6E-409C-BE32-E72D297353CC}">
              <c16:uniqueId val="{00000000-58BA-438A-89A1-6B897D0B8BF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95806992"/>
        <c:axId val="653872816"/>
      </c:lineChart>
      <c:catAx>
        <c:axId val="8958069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53872816"/>
        <c:crosses val="autoZero"/>
        <c:auto val="1"/>
        <c:lblAlgn val="ctr"/>
        <c:lblOffset val="100"/>
        <c:noMultiLvlLbl val="0"/>
      </c:catAx>
      <c:valAx>
        <c:axId val="6538728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9580699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by category</c:name>
    <c:fmtId val="7"/>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u="none">
                <a:solidFill>
                  <a:schemeClr val="tx1"/>
                </a:solidFill>
              </a:rPr>
              <a:t>Sales by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pivotFmt>
    </c:pivotFmts>
    <c:plotArea>
      <c:layout/>
      <c:doughnutChart>
        <c:varyColors val="1"/>
        <c:ser>
          <c:idx val="0"/>
          <c:order val="0"/>
          <c:tx>
            <c:strRef>
              <c:f>'Pivot Tables'!$H$3</c:f>
              <c:strCache>
                <c:ptCount val="1"/>
                <c:pt idx="0">
                  <c:v>Total</c:v>
                </c:pt>
              </c:strCache>
            </c:strRef>
          </c:tx>
          <c:spPr>
            <a:scene3d>
              <a:camera prst="orthographicFront"/>
              <a:lightRig rig="threePt" dir="t"/>
            </a:scene3d>
            <a:sp3d>
              <a:bevelT/>
            </a:sp3d>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0F-3E5C-4474-BB6B-A2F9E668F87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11-3E5C-4474-BB6B-A2F9E668F87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13-3E5C-4474-BB6B-A2F9E668F87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15-3E5C-4474-BB6B-A2F9E668F87E}"/>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17-3E5C-4474-BB6B-A2F9E668F87E}"/>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scene3d>
              <a:sp3d>
                <a:bevelT/>
              </a:sp3d>
            </c:spPr>
            <c:extLst>
              <c:ext xmlns:c16="http://schemas.microsoft.com/office/drawing/2014/chart" uri="{C3380CC4-5D6E-409C-BE32-E72D297353CC}">
                <c16:uniqueId val="{00000019-3E5C-4474-BB6B-A2F9E668F87E}"/>
              </c:ext>
            </c:extLst>
          </c:dPt>
          <c:cat>
            <c:strRef>
              <c:f>'Pivot Tables'!$G$4:$G$10</c:f>
              <c:strCache>
                <c:ptCount val="6"/>
                <c:pt idx="0">
                  <c:v>Accessories</c:v>
                </c:pt>
                <c:pt idx="1">
                  <c:v>Bags</c:v>
                </c:pt>
                <c:pt idx="2">
                  <c:v>Electronics</c:v>
                </c:pt>
                <c:pt idx="3">
                  <c:v>Furniture</c:v>
                </c:pt>
                <c:pt idx="4">
                  <c:v>Office Equipment</c:v>
                </c:pt>
                <c:pt idx="5">
                  <c:v>Stationery</c:v>
                </c:pt>
              </c:strCache>
            </c:strRef>
          </c:cat>
          <c:val>
            <c:numRef>
              <c:f>'Pivot Tables'!$H$4:$H$10</c:f>
              <c:numCache>
                <c:formatCode>0.00%</c:formatCode>
                <c:ptCount val="6"/>
                <c:pt idx="0">
                  <c:v>4.8605038044416973E-2</c:v>
                </c:pt>
                <c:pt idx="1">
                  <c:v>1.5283219548557766E-2</c:v>
                </c:pt>
                <c:pt idx="2">
                  <c:v>0.68943392452933105</c:v>
                </c:pt>
                <c:pt idx="3">
                  <c:v>0.13191003881712318</c:v>
                </c:pt>
                <c:pt idx="4">
                  <c:v>0.11039698917302256</c:v>
                </c:pt>
                <c:pt idx="5">
                  <c:v>4.3707898875485216E-3</c:v>
                </c:pt>
              </c:numCache>
            </c:numRef>
          </c:val>
          <c:extLst>
            <c:ext xmlns:c16="http://schemas.microsoft.com/office/drawing/2014/chart" uri="{C3380CC4-5D6E-409C-BE32-E72D297353CC}">
              <c16:uniqueId val="{0000001A-3E5C-4474-BB6B-A2F9E668F87E}"/>
            </c:ext>
          </c:extLst>
        </c:ser>
        <c:dLbls>
          <c:showLegendKey val="0"/>
          <c:showVal val="0"/>
          <c:showCatName val="0"/>
          <c:showSerName val="0"/>
          <c:showPercent val="0"/>
          <c:showBubbleSize val="0"/>
          <c:showLeaderLines val="1"/>
        </c:dLbls>
        <c:firstSliceAng val="53"/>
        <c:holeSize val="51"/>
      </c:doughnutChart>
      <c:spPr>
        <a:noFill/>
        <a:ln>
          <a:noFill/>
        </a:ln>
        <a:effectLst/>
      </c:spPr>
    </c:plotArea>
    <c:legend>
      <c:legendPos val="b"/>
      <c:layout>
        <c:manualLayout>
          <c:xMode val="edge"/>
          <c:yMode val="edge"/>
          <c:x val="4.1500673902248701E-2"/>
          <c:y val="0.80702267985732545"/>
          <c:w val="0.93051216570901607"/>
          <c:h val="0.16092603809139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Tables!Top Products</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Top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Tables'!$AA$3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Tables'!$Z$4:$Z$19</c:f>
              <c:strCache>
                <c:ptCount val="15"/>
                <c:pt idx="0">
                  <c:v>Backpack</c:v>
                </c:pt>
                <c:pt idx="1">
                  <c:v>Desk</c:v>
                </c:pt>
                <c:pt idx="2">
                  <c:v>Headphones</c:v>
                </c:pt>
                <c:pt idx="3">
                  <c:v>Keyboard</c:v>
                </c:pt>
                <c:pt idx="4">
                  <c:v>Laptop</c:v>
                </c:pt>
                <c:pt idx="5">
                  <c:v>Monitor</c:v>
                </c:pt>
                <c:pt idx="6">
                  <c:v>Mouse</c:v>
                </c:pt>
                <c:pt idx="7">
                  <c:v>Notebook</c:v>
                </c:pt>
                <c:pt idx="8">
                  <c:v>Office Chair</c:v>
                </c:pt>
                <c:pt idx="9">
                  <c:v>Pen Set</c:v>
                </c:pt>
                <c:pt idx="10">
                  <c:v>Power Bank</c:v>
                </c:pt>
                <c:pt idx="11">
                  <c:v>Printer</c:v>
                </c:pt>
                <c:pt idx="12">
                  <c:v>Smartphone</c:v>
                </c:pt>
                <c:pt idx="13">
                  <c:v>Tablet</c:v>
                </c:pt>
                <c:pt idx="14">
                  <c:v>USB Drive</c:v>
                </c:pt>
              </c:strCache>
            </c:strRef>
          </c:cat>
          <c:val>
            <c:numRef>
              <c:f>'Pivot Tables'!$AA$4:$AA$19</c:f>
              <c:numCache>
                <c:formatCode>0.00%</c:formatCode>
                <c:ptCount val="15"/>
                <c:pt idx="0">
                  <c:v>1.5283219548557766E-2</c:v>
                </c:pt>
                <c:pt idx="1">
                  <c:v>9.4897411888766672E-2</c:v>
                </c:pt>
                <c:pt idx="2">
                  <c:v>1.1681499595465578E-2</c:v>
                </c:pt>
                <c:pt idx="3">
                  <c:v>2.39229839186204E-2</c:v>
                </c:pt>
                <c:pt idx="4">
                  <c:v>0.18799487286710362</c:v>
                </c:pt>
                <c:pt idx="5">
                  <c:v>9.0270265356399371E-2</c:v>
                </c:pt>
                <c:pt idx="6">
                  <c:v>7.2734379971455326E-3</c:v>
                </c:pt>
                <c:pt idx="7">
                  <c:v>2.8340136178104233E-3</c:v>
                </c:pt>
                <c:pt idx="8">
                  <c:v>3.7012626928356503E-2</c:v>
                </c:pt>
                <c:pt idx="9">
                  <c:v>1.5367762697380981E-3</c:v>
                </c:pt>
                <c:pt idx="10">
                  <c:v>2.8779215112315119E-2</c:v>
                </c:pt>
                <c:pt idx="11">
                  <c:v>0.11039698917302256</c:v>
                </c:pt>
                <c:pt idx="12">
                  <c:v>0.27719244020617617</c:v>
                </c:pt>
                <c:pt idx="13">
                  <c:v>0.10519713098733671</c:v>
                </c:pt>
                <c:pt idx="14">
                  <c:v>5.7271165331854584E-3</c:v>
                </c:pt>
              </c:numCache>
            </c:numRef>
          </c:val>
          <c:extLst>
            <c:ext xmlns:c16="http://schemas.microsoft.com/office/drawing/2014/chart" uri="{C3380CC4-5D6E-409C-BE32-E72D297353CC}">
              <c16:uniqueId val="{00000000-6081-476A-8561-D038140E9B7A}"/>
            </c:ext>
          </c:extLst>
        </c:ser>
        <c:dLbls>
          <c:showLegendKey val="0"/>
          <c:showVal val="1"/>
          <c:showCatName val="0"/>
          <c:showSerName val="0"/>
          <c:showPercent val="0"/>
          <c:showBubbleSize val="0"/>
        </c:dLbls>
        <c:gapWidth val="150"/>
        <c:shape val="box"/>
        <c:axId val="642764880"/>
        <c:axId val="653811856"/>
        <c:axId val="0"/>
      </c:bar3DChart>
      <c:catAx>
        <c:axId val="6427648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11856"/>
        <c:crosses val="autoZero"/>
        <c:auto val="1"/>
        <c:lblAlgn val="ctr"/>
        <c:lblOffset val="100"/>
        <c:noMultiLvlLbl val="0"/>
      </c:catAx>
      <c:valAx>
        <c:axId val="6538118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76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by City</c:name>
    <c:fmtId val="8"/>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u="none">
                <a:solidFill>
                  <a:schemeClr val="tx1"/>
                </a:solidFill>
              </a:rPr>
              <a:t>Sales by City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Tables'!$L$3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Tables'!$K$4:$K$10</c:f>
              <c:strCache>
                <c:ptCount val="6"/>
                <c:pt idx="0">
                  <c:v>Ahmedabad</c:v>
                </c:pt>
                <c:pt idx="1">
                  <c:v>Bangalore</c:v>
                </c:pt>
                <c:pt idx="2">
                  <c:v>Delhi</c:v>
                </c:pt>
                <c:pt idx="3">
                  <c:v>Mumbai</c:v>
                </c:pt>
                <c:pt idx="4">
                  <c:v>Nashik</c:v>
                </c:pt>
                <c:pt idx="5">
                  <c:v>Pune</c:v>
                </c:pt>
              </c:strCache>
            </c:strRef>
          </c:cat>
          <c:val>
            <c:numRef>
              <c:f>'Pivot Tables'!$L$4:$L$10</c:f>
              <c:numCache>
                <c:formatCode>0.00%</c:formatCode>
                <c:ptCount val="6"/>
                <c:pt idx="0">
                  <c:v>5.0051362235575395E-2</c:v>
                </c:pt>
                <c:pt idx="1">
                  <c:v>0.15669754461241966</c:v>
                </c:pt>
                <c:pt idx="2">
                  <c:v>0.13856849358653855</c:v>
                </c:pt>
                <c:pt idx="3">
                  <c:v>0.18179458742034307</c:v>
                </c:pt>
                <c:pt idx="4">
                  <c:v>0.25524940228902848</c:v>
                </c:pt>
                <c:pt idx="5">
                  <c:v>0.21763860985609484</c:v>
                </c:pt>
              </c:numCache>
            </c:numRef>
          </c:val>
          <c:extLst>
            <c:ext xmlns:c16="http://schemas.microsoft.com/office/drawing/2014/chart" uri="{C3380CC4-5D6E-409C-BE32-E72D297353CC}">
              <c16:uniqueId val="{00000000-3B85-4207-AC85-99C4B37C6390}"/>
            </c:ext>
          </c:extLst>
        </c:ser>
        <c:dLbls>
          <c:showLegendKey val="0"/>
          <c:showVal val="0"/>
          <c:showCatName val="0"/>
          <c:showSerName val="0"/>
          <c:showPercent val="0"/>
          <c:showBubbleSize val="0"/>
        </c:dLbls>
        <c:gapWidth val="150"/>
        <c:shape val="box"/>
        <c:axId val="803193552"/>
        <c:axId val="653868496"/>
        <c:axId val="0"/>
      </c:bar3DChart>
      <c:catAx>
        <c:axId val="80319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68496"/>
        <c:crosses val="autoZero"/>
        <c:auto val="1"/>
        <c:lblAlgn val="ctr"/>
        <c:lblOffset val="100"/>
        <c:noMultiLvlLbl val="0"/>
      </c:catAx>
      <c:valAx>
        <c:axId val="653868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19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Tables!Profit by Category</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Tables'!$P$3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F67-4FE8-8EF7-D7BAB550AB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F67-4FE8-8EF7-D7BAB550AB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F67-4FE8-8EF7-D7BAB550AB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F67-4FE8-8EF7-D7BAB550AB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7F67-4FE8-8EF7-D7BAB550ABF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7F67-4FE8-8EF7-D7BAB550AB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Tables'!$O$4:$O$10</c:f>
              <c:strCache>
                <c:ptCount val="6"/>
                <c:pt idx="0">
                  <c:v>Accessories</c:v>
                </c:pt>
                <c:pt idx="1">
                  <c:v>Bags</c:v>
                </c:pt>
                <c:pt idx="2">
                  <c:v>Electronics</c:v>
                </c:pt>
                <c:pt idx="3">
                  <c:v>Furniture</c:v>
                </c:pt>
                <c:pt idx="4">
                  <c:v>Office Equipment</c:v>
                </c:pt>
                <c:pt idx="5">
                  <c:v>Stationery</c:v>
                </c:pt>
              </c:strCache>
            </c:strRef>
          </c:cat>
          <c:val>
            <c:numRef>
              <c:f>'Pivot Tables'!$P$4:$P$10</c:f>
              <c:numCache>
                <c:formatCode>0.00%</c:formatCode>
                <c:ptCount val="6"/>
                <c:pt idx="0">
                  <c:v>4.9954957441194749E-2</c:v>
                </c:pt>
                <c:pt idx="1">
                  <c:v>1.598211516811527E-2</c:v>
                </c:pt>
                <c:pt idx="2">
                  <c:v>0.68125416149401674</c:v>
                </c:pt>
                <c:pt idx="3">
                  <c:v>0.14077274096629372</c:v>
                </c:pt>
                <c:pt idx="4">
                  <c:v>0.10796907868169671</c:v>
                </c:pt>
                <c:pt idx="5">
                  <c:v>4.0669462486827863E-3</c:v>
                </c:pt>
              </c:numCache>
            </c:numRef>
          </c:val>
          <c:extLst>
            <c:ext xmlns:c16="http://schemas.microsoft.com/office/drawing/2014/chart" uri="{C3380CC4-5D6E-409C-BE32-E72D297353CC}">
              <c16:uniqueId val="{0000000C-7F67-4FE8-8EF7-D7BAB550ABF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5.6123480634759408E-2"/>
          <c:y val="0.80122179977207875"/>
          <c:w val="0.93966794227057493"/>
          <c:h val="0.16356510382524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[Sales_and_Revenue_Analytics_Dashboard.xlsx]Pivot Tables!Sales and Profit</c:name>
    <c:fmtId val="16"/>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Tables'!$T$3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Tables'!$S$4:$S$10</c:f>
              <c:strCache>
                <c:ptCount val="6"/>
                <c:pt idx="0">
                  <c:v>Accessories</c:v>
                </c:pt>
                <c:pt idx="1">
                  <c:v>Bags</c:v>
                </c:pt>
                <c:pt idx="2">
                  <c:v>Electronics</c:v>
                </c:pt>
                <c:pt idx="3">
                  <c:v>Furniture</c:v>
                </c:pt>
                <c:pt idx="4">
                  <c:v>Office Equipment</c:v>
                </c:pt>
                <c:pt idx="5">
                  <c:v>Stationery</c:v>
                </c:pt>
              </c:strCache>
            </c:strRef>
          </c:cat>
          <c:val>
            <c:numRef>
              <c:f>'Pivot Tables'!$T$4:$T$10</c:f>
              <c:numCache>
                <c:formatCode>General</c:formatCode>
                <c:ptCount val="6"/>
                <c:pt idx="0">
                  <c:v>46466.339999999989</c:v>
                </c:pt>
                <c:pt idx="1">
                  <c:v>14866</c:v>
                </c:pt>
                <c:pt idx="2">
                  <c:v>633678.60000000021</c:v>
                </c:pt>
                <c:pt idx="3">
                  <c:v>130941.83999999997</c:v>
                </c:pt>
                <c:pt idx="4">
                  <c:v>100429.02999999998</c:v>
                </c:pt>
                <c:pt idx="5">
                  <c:v>3782.9300000000003</c:v>
                </c:pt>
              </c:numCache>
            </c:numRef>
          </c:val>
          <c:extLst>
            <c:ext xmlns:c16="http://schemas.microsoft.com/office/drawing/2014/chart" uri="{C3380CC4-5D6E-409C-BE32-E72D297353CC}">
              <c16:uniqueId val="{00000000-6B30-497F-914A-C5B97D8B7E2A}"/>
            </c:ext>
          </c:extLst>
        </c:ser>
        <c:dLbls>
          <c:showLegendKey val="0"/>
          <c:showVal val="0"/>
          <c:showCatName val="0"/>
          <c:showSerName val="0"/>
          <c:showPercent val="0"/>
          <c:showBubbleSize val="0"/>
        </c:dLbls>
        <c:gapWidth val="150"/>
        <c:overlap val="100"/>
        <c:axId val="1054791232"/>
        <c:axId val="653845936"/>
      </c:barChart>
      <c:lineChart>
        <c:grouping val="stacked"/>
        <c:varyColors val="0"/>
        <c:ser>
          <c:idx val="1"/>
          <c:order val="1"/>
          <c:tx>
            <c:strRef>
              <c:f>'Pivot Tables'!$U$3</c:f>
              <c:strCache>
                <c:ptCount val="1"/>
                <c:pt idx="0">
                  <c:v>Sum of Sales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Tables'!$S$4:$S$10</c:f>
              <c:strCache>
                <c:ptCount val="6"/>
                <c:pt idx="0">
                  <c:v>Accessories</c:v>
                </c:pt>
                <c:pt idx="1">
                  <c:v>Bags</c:v>
                </c:pt>
                <c:pt idx="2">
                  <c:v>Electronics</c:v>
                </c:pt>
                <c:pt idx="3">
                  <c:v>Furniture</c:v>
                </c:pt>
                <c:pt idx="4">
                  <c:v>Office Equipment</c:v>
                </c:pt>
                <c:pt idx="5">
                  <c:v>Stationery</c:v>
                </c:pt>
              </c:strCache>
            </c:strRef>
          </c:cat>
          <c:val>
            <c:numRef>
              <c:f>'Pivot Tables'!$U$4:$U$10</c:f>
              <c:numCache>
                <c:formatCode>\₹#,##0.00</c:formatCode>
                <c:ptCount val="6"/>
                <c:pt idx="0">
                  <c:v>267335</c:v>
                </c:pt>
                <c:pt idx="1">
                  <c:v>84060</c:v>
                </c:pt>
                <c:pt idx="2">
                  <c:v>3791990</c:v>
                </c:pt>
                <c:pt idx="3">
                  <c:v>725525</c:v>
                </c:pt>
                <c:pt idx="4">
                  <c:v>607200</c:v>
                </c:pt>
                <c:pt idx="5">
                  <c:v>24040</c:v>
                </c:pt>
              </c:numCache>
            </c:numRef>
          </c:val>
          <c:smooth val="0"/>
          <c:extLst>
            <c:ext xmlns:c16="http://schemas.microsoft.com/office/drawing/2014/chart" uri="{C3380CC4-5D6E-409C-BE32-E72D297353CC}">
              <c16:uniqueId val="{00000001-6B30-497F-914A-C5B97D8B7E2A}"/>
            </c:ext>
          </c:extLst>
        </c:ser>
        <c:dLbls>
          <c:showLegendKey val="0"/>
          <c:showVal val="0"/>
          <c:showCatName val="0"/>
          <c:showSerName val="0"/>
          <c:showPercent val="0"/>
          <c:showBubbleSize val="0"/>
        </c:dLbls>
        <c:marker val="1"/>
        <c:smooth val="0"/>
        <c:axId val="1054791232"/>
        <c:axId val="653845936"/>
      </c:lineChart>
      <c:catAx>
        <c:axId val="1054791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845936"/>
        <c:crosses val="autoZero"/>
        <c:auto val="1"/>
        <c:lblAlgn val="ctr"/>
        <c:lblOffset val="100"/>
        <c:noMultiLvlLbl val="0"/>
      </c:catAx>
      <c:valAx>
        <c:axId val="65384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79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5">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23</xdr:col>
      <xdr:colOff>265957</xdr:colOff>
      <xdr:row>19</xdr:row>
      <xdr:rowOff>125665</xdr:rowOff>
    </xdr:from>
    <xdr:to>
      <xdr:col>28</xdr:col>
      <xdr:colOff>61452</xdr:colOff>
      <xdr:row>36</xdr:row>
      <xdr:rowOff>62430</xdr:rowOff>
    </xdr:to>
    <xdr:graphicFrame macro="">
      <xdr:nvGraphicFramePr>
        <xdr:cNvPr id="3" name="Chart 2">
          <a:extLst>
            <a:ext uri="{FF2B5EF4-FFF2-40B4-BE49-F238E27FC236}">
              <a16:creationId xmlns:a16="http://schemas.microsoft.com/office/drawing/2014/main" id="{8CC77137-276F-3479-1F52-B9AE2C8C7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62966</xdr:colOff>
      <xdr:row>11</xdr:row>
      <xdr:rowOff>47352</xdr:rowOff>
    </xdr:from>
    <xdr:to>
      <xdr:col>12</xdr:col>
      <xdr:colOff>885842</xdr:colOff>
      <xdr:row>26</xdr:row>
      <xdr:rowOff>117231</xdr:rowOff>
    </xdr:to>
    <xdr:graphicFrame macro="">
      <xdr:nvGraphicFramePr>
        <xdr:cNvPr id="4" name="Chart 3">
          <a:extLst>
            <a:ext uri="{FF2B5EF4-FFF2-40B4-BE49-F238E27FC236}">
              <a16:creationId xmlns:a16="http://schemas.microsoft.com/office/drawing/2014/main" id="{DC910047-0AA2-2D33-A3F3-C49426D62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91440</xdr:colOff>
      <xdr:row>11</xdr:row>
      <xdr:rowOff>3810</xdr:rowOff>
    </xdr:from>
    <xdr:to>
      <xdr:col>16</xdr:col>
      <xdr:colOff>601980</xdr:colOff>
      <xdr:row>28</xdr:row>
      <xdr:rowOff>0</xdr:rowOff>
    </xdr:to>
    <xdr:graphicFrame macro="">
      <xdr:nvGraphicFramePr>
        <xdr:cNvPr id="6" name="Chart 5">
          <a:extLst>
            <a:ext uri="{FF2B5EF4-FFF2-40B4-BE49-F238E27FC236}">
              <a16:creationId xmlns:a16="http://schemas.microsoft.com/office/drawing/2014/main" id="{2EB8259A-9E3A-D5A7-3CF0-038011963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11</xdr:row>
      <xdr:rowOff>75529</xdr:rowOff>
    </xdr:from>
    <xdr:to>
      <xdr:col>22</xdr:col>
      <xdr:colOff>540152</xdr:colOff>
      <xdr:row>27</xdr:row>
      <xdr:rowOff>144684</xdr:rowOff>
    </xdr:to>
    <xdr:graphicFrame macro="">
      <xdr:nvGraphicFramePr>
        <xdr:cNvPr id="7" name="Chart 6">
          <a:extLst>
            <a:ext uri="{FF2B5EF4-FFF2-40B4-BE49-F238E27FC236}">
              <a16:creationId xmlns:a16="http://schemas.microsoft.com/office/drawing/2014/main" id="{2EDF544F-313D-4045-0803-C917241A2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845736</xdr:colOff>
      <xdr:row>11</xdr:row>
      <xdr:rowOff>51916</xdr:rowOff>
    </xdr:from>
    <xdr:to>
      <xdr:col>8</xdr:col>
      <xdr:colOff>820616</xdr:colOff>
      <xdr:row>26</xdr:row>
      <xdr:rowOff>108858</xdr:rowOff>
    </xdr:to>
    <xdr:graphicFrame macro="">
      <xdr:nvGraphicFramePr>
        <xdr:cNvPr id="8" name="Chart 7">
          <a:extLst>
            <a:ext uri="{FF2B5EF4-FFF2-40B4-BE49-F238E27FC236}">
              <a16:creationId xmlns:a16="http://schemas.microsoft.com/office/drawing/2014/main" id="{BD7F69B2-3007-C744-C60E-4CAC63323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301450</xdr:colOff>
      <xdr:row>11</xdr:row>
      <xdr:rowOff>110531</xdr:rowOff>
    </xdr:from>
    <xdr:to>
      <xdr:col>4</xdr:col>
      <xdr:colOff>703384</xdr:colOff>
      <xdr:row>26</xdr:row>
      <xdr:rowOff>16748</xdr:rowOff>
    </xdr:to>
    <xdr:graphicFrame macro="">
      <xdr:nvGraphicFramePr>
        <xdr:cNvPr id="9" name="Chart 8">
          <a:extLst>
            <a:ext uri="{FF2B5EF4-FFF2-40B4-BE49-F238E27FC236}">
              <a16:creationId xmlns:a16="http://schemas.microsoft.com/office/drawing/2014/main" id="{0C29D586-23CD-9578-CCA5-062CE8F31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9896</xdr:rowOff>
    </xdr:from>
    <xdr:to>
      <xdr:col>23</xdr:col>
      <xdr:colOff>190500</xdr:colOff>
      <xdr:row>32</xdr:row>
      <xdr:rowOff>118753</xdr:rowOff>
    </xdr:to>
    <xdr:sp macro="" textlink="">
      <xdr:nvSpPr>
        <xdr:cNvPr id="55" name="Rectangle 54">
          <a:extLst>
            <a:ext uri="{FF2B5EF4-FFF2-40B4-BE49-F238E27FC236}">
              <a16:creationId xmlns:a16="http://schemas.microsoft.com/office/drawing/2014/main" id="{D4CB6EFE-C55E-F7D8-44EE-8EE5F3016AB5}"/>
            </a:ext>
          </a:extLst>
        </xdr:cNvPr>
        <xdr:cNvSpPr/>
      </xdr:nvSpPr>
      <xdr:spPr>
        <a:xfrm>
          <a:off x="0" y="9896"/>
          <a:ext cx="14211300" cy="5961017"/>
        </a:xfrm>
        <a:prstGeom prst="rect">
          <a:avLst/>
        </a:prstGeom>
        <a:solidFill>
          <a:schemeClr val="tx2">
            <a:lumMod val="7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30480</xdr:rowOff>
    </xdr:from>
    <xdr:to>
      <xdr:col>23</xdr:col>
      <xdr:colOff>137160</xdr:colOff>
      <xdr:row>2</xdr:row>
      <xdr:rowOff>137160</xdr:rowOff>
    </xdr:to>
    <xdr:sp macro="" textlink="">
      <xdr:nvSpPr>
        <xdr:cNvPr id="2" name="Rectangle 1">
          <a:extLst>
            <a:ext uri="{FF2B5EF4-FFF2-40B4-BE49-F238E27FC236}">
              <a16:creationId xmlns:a16="http://schemas.microsoft.com/office/drawing/2014/main" id="{D6C1BC6B-8ED6-33D0-F129-2ABD8CDF8816}"/>
            </a:ext>
          </a:extLst>
        </xdr:cNvPr>
        <xdr:cNvSpPr>
          <a:spLocks noChangeAspect="1"/>
        </xdr:cNvSpPr>
      </xdr:nvSpPr>
      <xdr:spPr>
        <a:xfrm>
          <a:off x="0" y="30480"/>
          <a:ext cx="14157960" cy="472440"/>
        </a:xfrm>
        <a:prstGeom prst="rect">
          <a:avLst/>
        </a:prstGeom>
        <a:solidFill>
          <a:srgbClr val="16EBF6"/>
        </a:solidFill>
        <a:ln/>
        <a:effectLst>
          <a:outerShdw blurRad="40000" dist="23000" dir="5400000" rotWithShape="0">
            <a:srgbClr val="000000">
              <a:alpha val="35000"/>
            </a:srgbClr>
          </a:outerShdw>
          <a:softEdge rad="12700"/>
        </a:effectLst>
        <a:scene3d>
          <a:camera prst="orthographicFront">
            <a:rot lat="0" lon="0" rev="0"/>
          </a:camera>
          <a:lightRig rig="threePt" dir="t">
            <a:rot lat="0" lon="0" rev="1200000"/>
          </a:lightRig>
        </a:scene3d>
        <a:sp3d>
          <a:bevelT w="63500" h="254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2400" b="1" i="0">
              <a:solidFill>
                <a:schemeClr val="tx1"/>
              </a:solidFill>
              <a:effectLst>
                <a:innerShdw blurRad="63500" dist="50800" dir="16200000">
                  <a:prstClr val="black">
                    <a:alpha val="50000"/>
                  </a:prstClr>
                </a:innerShdw>
              </a:effectLst>
              <a:latin typeface="Algerian" panose="04020705040A02060702" pitchFamily="82" charset="0"/>
            </a:rPr>
            <a:t>SALES &amp; REVENUE ANALYTICS DASHBOARD</a:t>
          </a:r>
        </a:p>
      </xdr:txBody>
    </xdr:sp>
    <xdr:clientData/>
  </xdr:twoCellAnchor>
  <xdr:twoCellAnchor>
    <xdr:from>
      <xdr:col>0</xdr:col>
      <xdr:colOff>83820</xdr:colOff>
      <xdr:row>2</xdr:row>
      <xdr:rowOff>167640</xdr:rowOff>
    </xdr:from>
    <xdr:to>
      <xdr:col>3</xdr:col>
      <xdr:colOff>434340</xdr:colOff>
      <xdr:row>6</xdr:row>
      <xdr:rowOff>144780</xdr:rowOff>
    </xdr:to>
    <xdr:sp macro="" textlink="">
      <xdr:nvSpPr>
        <xdr:cNvPr id="11" name="Rectangle: Rounded Corners 10">
          <a:extLst>
            <a:ext uri="{FF2B5EF4-FFF2-40B4-BE49-F238E27FC236}">
              <a16:creationId xmlns:a16="http://schemas.microsoft.com/office/drawing/2014/main" id="{A8B65648-9ADE-B2FC-4275-3DD577477F49}"/>
            </a:ext>
          </a:extLst>
        </xdr:cNvPr>
        <xdr:cNvSpPr/>
      </xdr:nvSpPr>
      <xdr:spPr>
        <a:xfrm>
          <a:off x="83820" y="533400"/>
          <a:ext cx="2179320" cy="7086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175260</xdr:colOff>
      <xdr:row>4</xdr:row>
      <xdr:rowOff>38100</xdr:rowOff>
    </xdr:from>
    <xdr:to>
      <xdr:col>3</xdr:col>
      <xdr:colOff>350520</xdr:colOff>
      <xdr:row>6</xdr:row>
      <xdr:rowOff>76200</xdr:rowOff>
    </xdr:to>
    <xdr:sp macro="" textlink="'Pivot Tables'!C39">
      <xdr:nvSpPr>
        <xdr:cNvPr id="15" name="TextBox 14">
          <a:extLst>
            <a:ext uri="{FF2B5EF4-FFF2-40B4-BE49-F238E27FC236}">
              <a16:creationId xmlns:a16="http://schemas.microsoft.com/office/drawing/2014/main" id="{40BD9ADB-63D8-9198-9D25-BD75BD8BD32A}"/>
            </a:ext>
          </a:extLst>
        </xdr:cNvPr>
        <xdr:cNvSpPr txBox="1"/>
      </xdr:nvSpPr>
      <xdr:spPr>
        <a:xfrm>
          <a:off x="784860" y="952500"/>
          <a:ext cx="13944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50214D-A872-4FFC-96E3-2FC3A34C4B64}" type="TxLink">
            <a:rPr lang="en-US" sz="1800" b="1" i="0" u="none" strike="noStrike">
              <a:solidFill>
                <a:srgbClr val="000000"/>
              </a:solidFill>
              <a:latin typeface="Calibri"/>
              <a:ea typeface="Calibri"/>
              <a:cs typeface="Calibri"/>
            </a:rPr>
            <a:pPr algn="ctr"/>
            <a:t>₹ 5.5 M</a:t>
          </a:fld>
          <a:endParaRPr lang="en-US" sz="1800" b="1" i="0"/>
        </a:p>
      </xdr:txBody>
    </xdr:sp>
    <xdr:clientData/>
  </xdr:twoCellAnchor>
  <xdr:twoCellAnchor>
    <xdr:from>
      <xdr:col>1</xdr:col>
      <xdr:colOff>45720</xdr:colOff>
      <xdr:row>3</xdr:row>
      <xdr:rowOff>53340</xdr:rowOff>
    </xdr:from>
    <xdr:to>
      <xdr:col>3</xdr:col>
      <xdr:colOff>541020</xdr:colOff>
      <xdr:row>4</xdr:row>
      <xdr:rowOff>76200</xdr:rowOff>
    </xdr:to>
    <xdr:sp macro="" textlink="">
      <xdr:nvSpPr>
        <xdr:cNvPr id="16" name="TextBox 15">
          <a:extLst>
            <a:ext uri="{FF2B5EF4-FFF2-40B4-BE49-F238E27FC236}">
              <a16:creationId xmlns:a16="http://schemas.microsoft.com/office/drawing/2014/main" id="{638BEF49-0DB1-4C3F-B177-11FC45A02D56}"/>
            </a:ext>
          </a:extLst>
        </xdr:cNvPr>
        <xdr:cNvSpPr txBox="1"/>
      </xdr:nvSpPr>
      <xdr:spPr>
        <a:xfrm>
          <a:off x="655320" y="784860"/>
          <a:ext cx="1714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mn-lt"/>
              <a:ea typeface="Calibri"/>
              <a:cs typeface="Calibri"/>
            </a:rPr>
            <a:t>Total Revenue</a:t>
          </a:r>
        </a:p>
      </xdr:txBody>
    </xdr:sp>
    <xdr:clientData/>
  </xdr:twoCellAnchor>
  <xdr:twoCellAnchor editAs="oneCell">
    <xdr:from>
      <xdr:col>0</xdr:col>
      <xdr:colOff>175260</xdr:colOff>
      <xdr:row>3</xdr:row>
      <xdr:rowOff>53340</xdr:rowOff>
    </xdr:from>
    <xdr:to>
      <xdr:col>1</xdr:col>
      <xdr:colOff>137160</xdr:colOff>
      <xdr:row>6</xdr:row>
      <xdr:rowOff>76200</xdr:rowOff>
    </xdr:to>
    <xdr:pic>
      <xdr:nvPicPr>
        <xdr:cNvPr id="18" name="Graphic 17" descr="Money with solid fill">
          <a:extLst>
            <a:ext uri="{FF2B5EF4-FFF2-40B4-BE49-F238E27FC236}">
              <a16:creationId xmlns:a16="http://schemas.microsoft.com/office/drawing/2014/main" id="{2E230FE7-F7DB-A9FA-61B5-F7C1925C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784860"/>
          <a:ext cx="571500" cy="571500"/>
        </a:xfrm>
        <a:prstGeom prst="rect">
          <a:avLst/>
        </a:prstGeom>
      </xdr:spPr>
    </xdr:pic>
    <xdr:clientData/>
  </xdr:twoCellAnchor>
  <xdr:twoCellAnchor>
    <xdr:from>
      <xdr:col>4</xdr:col>
      <xdr:colOff>548640</xdr:colOff>
      <xdr:row>2</xdr:row>
      <xdr:rowOff>175260</xdr:rowOff>
    </xdr:from>
    <xdr:to>
      <xdr:col>8</xdr:col>
      <xdr:colOff>289560</xdr:colOff>
      <xdr:row>6</xdr:row>
      <xdr:rowOff>152400</xdr:rowOff>
    </xdr:to>
    <xdr:sp macro="" textlink="">
      <xdr:nvSpPr>
        <xdr:cNvPr id="19" name="Rectangle: Rounded Corners 18">
          <a:extLst>
            <a:ext uri="{FF2B5EF4-FFF2-40B4-BE49-F238E27FC236}">
              <a16:creationId xmlns:a16="http://schemas.microsoft.com/office/drawing/2014/main" id="{5201BD7F-7666-446E-8882-4900DDBD3BD7}"/>
            </a:ext>
          </a:extLst>
        </xdr:cNvPr>
        <xdr:cNvSpPr/>
      </xdr:nvSpPr>
      <xdr:spPr>
        <a:xfrm>
          <a:off x="2987040" y="541020"/>
          <a:ext cx="2179320" cy="7086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457200</xdr:colOff>
      <xdr:row>4</xdr:row>
      <xdr:rowOff>114300</xdr:rowOff>
    </xdr:from>
    <xdr:to>
      <xdr:col>8</xdr:col>
      <xdr:colOff>373380</xdr:colOff>
      <xdr:row>6</xdr:row>
      <xdr:rowOff>68580</xdr:rowOff>
    </xdr:to>
    <xdr:sp macro="" textlink="'Pivot Tables'!E39">
      <xdr:nvSpPr>
        <xdr:cNvPr id="20" name="TextBox 19">
          <a:extLst>
            <a:ext uri="{FF2B5EF4-FFF2-40B4-BE49-F238E27FC236}">
              <a16:creationId xmlns:a16="http://schemas.microsoft.com/office/drawing/2014/main" id="{0B925EF9-5E8D-4201-86AC-605D8A8D2A84}"/>
            </a:ext>
          </a:extLst>
        </xdr:cNvPr>
        <xdr:cNvSpPr txBox="1"/>
      </xdr:nvSpPr>
      <xdr:spPr>
        <a:xfrm>
          <a:off x="3505200" y="1028700"/>
          <a:ext cx="17449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079349-BECC-4527-99CA-2B412A9584D7}" type="TxLink">
            <a:rPr lang="en-US" sz="1800" b="1" i="0" u="none" strike="noStrike">
              <a:solidFill>
                <a:srgbClr val="000000"/>
              </a:solidFill>
              <a:latin typeface="Calibri"/>
              <a:ea typeface="Calibri"/>
              <a:cs typeface="Calibri"/>
            </a:rPr>
            <a:pPr marL="0" indent="0" algn="ctr"/>
            <a:t>₹ 770.0 K</a:t>
          </a:fld>
          <a:endParaRPr lang="en-US" sz="1800" b="1" i="0" u="none" strike="noStrike">
            <a:solidFill>
              <a:srgbClr val="000000"/>
            </a:solidFill>
            <a:latin typeface="Calibri"/>
            <a:ea typeface="Calibri"/>
            <a:cs typeface="Calibri"/>
          </a:endParaRPr>
        </a:p>
      </xdr:txBody>
    </xdr:sp>
    <xdr:clientData/>
  </xdr:twoCellAnchor>
  <xdr:twoCellAnchor>
    <xdr:from>
      <xdr:col>5</xdr:col>
      <xdr:colOff>472440</xdr:colOff>
      <xdr:row>3</xdr:row>
      <xdr:rowOff>91440</xdr:rowOff>
    </xdr:from>
    <xdr:to>
      <xdr:col>8</xdr:col>
      <xdr:colOff>358140</xdr:colOff>
      <xdr:row>4</xdr:row>
      <xdr:rowOff>114300</xdr:rowOff>
    </xdr:to>
    <xdr:sp macro="" textlink="">
      <xdr:nvSpPr>
        <xdr:cNvPr id="21" name="TextBox 20">
          <a:extLst>
            <a:ext uri="{FF2B5EF4-FFF2-40B4-BE49-F238E27FC236}">
              <a16:creationId xmlns:a16="http://schemas.microsoft.com/office/drawing/2014/main" id="{4B283690-77C7-48F3-8DD5-0E78D8A471AD}"/>
            </a:ext>
          </a:extLst>
        </xdr:cNvPr>
        <xdr:cNvSpPr txBox="1"/>
      </xdr:nvSpPr>
      <xdr:spPr>
        <a:xfrm>
          <a:off x="3520440" y="822960"/>
          <a:ext cx="1714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mn-lt"/>
              <a:ea typeface="Calibri"/>
              <a:cs typeface="Calibri"/>
            </a:rPr>
            <a:t>Total Profit</a:t>
          </a:r>
        </a:p>
      </xdr:txBody>
    </xdr:sp>
    <xdr:clientData/>
  </xdr:twoCellAnchor>
  <xdr:twoCellAnchor>
    <xdr:from>
      <xdr:col>9</xdr:col>
      <xdr:colOff>533400</xdr:colOff>
      <xdr:row>2</xdr:row>
      <xdr:rowOff>175260</xdr:rowOff>
    </xdr:from>
    <xdr:to>
      <xdr:col>13</xdr:col>
      <xdr:colOff>274320</xdr:colOff>
      <xdr:row>6</xdr:row>
      <xdr:rowOff>152400</xdr:rowOff>
    </xdr:to>
    <xdr:sp macro="" textlink="">
      <xdr:nvSpPr>
        <xdr:cNvPr id="23" name="Rectangle: Rounded Corners 22">
          <a:extLst>
            <a:ext uri="{FF2B5EF4-FFF2-40B4-BE49-F238E27FC236}">
              <a16:creationId xmlns:a16="http://schemas.microsoft.com/office/drawing/2014/main" id="{0CD68A5B-5457-C485-8AA2-550F27C1F6A3}"/>
            </a:ext>
          </a:extLst>
        </xdr:cNvPr>
        <xdr:cNvSpPr/>
      </xdr:nvSpPr>
      <xdr:spPr>
        <a:xfrm>
          <a:off x="6019800" y="541020"/>
          <a:ext cx="2179320" cy="7086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14</xdr:col>
      <xdr:colOff>396240</xdr:colOff>
      <xdr:row>3</xdr:row>
      <xdr:rowOff>0</xdr:rowOff>
    </xdr:from>
    <xdr:to>
      <xdr:col>18</xdr:col>
      <xdr:colOff>137160</xdr:colOff>
      <xdr:row>6</xdr:row>
      <xdr:rowOff>160020</xdr:rowOff>
    </xdr:to>
    <xdr:sp macro="" textlink="">
      <xdr:nvSpPr>
        <xdr:cNvPr id="24" name="Rectangle: Rounded Corners 23">
          <a:extLst>
            <a:ext uri="{FF2B5EF4-FFF2-40B4-BE49-F238E27FC236}">
              <a16:creationId xmlns:a16="http://schemas.microsoft.com/office/drawing/2014/main" id="{2F69E05A-C2EA-0205-40B1-A6A7B7C78616}"/>
            </a:ext>
          </a:extLst>
        </xdr:cNvPr>
        <xdr:cNvSpPr/>
      </xdr:nvSpPr>
      <xdr:spPr>
        <a:xfrm>
          <a:off x="8930640" y="548640"/>
          <a:ext cx="2179320" cy="7086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19</xdr:col>
      <xdr:colOff>350520</xdr:colOff>
      <xdr:row>2</xdr:row>
      <xdr:rowOff>175260</xdr:rowOff>
    </xdr:from>
    <xdr:to>
      <xdr:col>23</xdr:col>
      <xdr:colOff>91440</xdr:colOff>
      <xdr:row>6</xdr:row>
      <xdr:rowOff>152400</xdr:rowOff>
    </xdr:to>
    <xdr:sp macro="" textlink="">
      <xdr:nvSpPr>
        <xdr:cNvPr id="26" name="Rectangle: Rounded Corners 25">
          <a:extLst>
            <a:ext uri="{FF2B5EF4-FFF2-40B4-BE49-F238E27FC236}">
              <a16:creationId xmlns:a16="http://schemas.microsoft.com/office/drawing/2014/main" id="{0C3362C3-5401-E187-CDCA-FFEEB44B637F}"/>
            </a:ext>
          </a:extLst>
        </xdr:cNvPr>
        <xdr:cNvSpPr/>
      </xdr:nvSpPr>
      <xdr:spPr>
        <a:xfrm>
          <a:off x="11932920" y="541020"/>
          <a:ext cx="2179320" cy="708660"/>
        </a:xfrm>
        <a:prstGeom prst="round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10</xdr:col>
      <xdr:colOff>396240</xdr:colOff>
      <xdr:row>4</xdr:row>
      <xdr:rowOff>137160</xdr:rowOff>
    </xdr:from>
    <xdr:to>
      <xdr:col>13</xdr:col>
      <xdr:colOff>312420</xdr:colOff>
      <xdr:row>6</xdr:row>
      <xdr:rowOff>91440</xdr:rowOff>
    </xdr:to>
    <xdr:sp macro="" textlink="'Pivot Tables'!G39">
      <xdr:nvSpPr>
        <xdr:cNvPr id="30" name="TextBox 29">
          <a:extLst>
            <a:ext uri="{FF2B5EF4-FFF2-40B4-BE49-F238E27FC236}">
              <a16:creationId xmlns:a16="http://schemas.microsoft.com/office/drawing/2014/main" id="{B596EF0C-CD00-459E-967C-B7E0B1C7F0ED}"/>
            </a:ext>
          </a:extLst>
        </xdr:cNvPr>
        <xdr:cNvSpPr txBox="1"/>
      </xdr:nvSpPr>
      <xdr:spPr>
        <a:xfrm>
          <a:off x="6492240" y="1051560"/>
          <a:ext cx="17449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15AA51-47C1-4959-9F0E-B39F563806B6}" type="TxLink">
            <a:rPr lang="en-US" sz="1800" b="1" i="0" u="none" strike="noStrike">
              <a:solidFill>
                <a:srgbClr val="000000"/>
              </a:solidFill>
              <a:latin typeface="Calibri"/>
              <a:ea typeface="Calibri"/>
              <a:cs typeface="Calibri"/>
            </a:rPr>
            <a:pPr marL="0" indent="0" algn="ctr"/>
            <a:t>47</a:t>
          </a:fld>
          <a:endParaRPr lang="en-US" sz="1800" b="1" i="0" u="none" strike="noStrike">
            <a:solidFill>
              <a:srgbClr val="000000"/>
            </a:solidFill>
            <a:latin typeface="Calibri"/>
            <a:ea typeface="Calibri"/>
            <a:cs typeface="Calibri"/>
          </a:endParaRPr>
        </a:p>
      </xdr:txBody>
    </xdr:sp>
    <xdr:clientData/>
  </xdr:twoCellAnchor>
  <xdr:twoCellAnchor>
    <xdr:from>
      <xdr:col>10</xdr:col>
      <xdr:colOff>457200</xdr:colOff>
      <xdr:row>3</xdr:row>
      <xdr:rowOff>76200</xdr:rowOff>
    </xdr:from>
    <xdr:to>
      <xdr:col>13</xdr:col>
      <xdr:colOff>342900</xdr:colOff>
      <xdr:row>4</xdr:row>
      <xdr:rowOff>99060</xdr:rowOff>
    </xdr:to>
    <xdr:sp macro="" textlink="">
      <xdr:nvSpPr>
        <xdr:cNvPr id="31" name="TextBox 30">
          <a:extLst>
            <a:ext uri="{FF2B5EF4-FFF2-40B4-BE49-F238E27FC236}">
              <a16:creationId xmlns:a16="http://schemas.microsoft.com/office/drawing/2014/main" id="{9C5DD38B-91CF-4B0C-8057-00C5A5A61159}"/>
            </a:ext>
          </a:extLst>
        </xdr:cNvPr>
        <xdr:cNvSpPr txBox="1"/>
      </xdr:nvSpPr>
      <xdr:spPr>
        <a:xfrm>
          <a:off x="6553200" y="807720"/>
          <a:ext cx="1714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mn-lt"/>
              <a:ea typeface="Calibri"/>
              <a:cs typeface="Calibri"/>
            </a:rPr>
            <a:t>Total Quantity</a:t>
          </a:r>
        </a:p>
      </xdr:txBody>
    </xdr:sp>
    <xdr:clientData/>
  </xdr:twoCellAnchor>
  <xdr:twoCellAnchor>
    <xdr:from>
      <xdr:col>15</xdr:col>
      <xdr:colOff>220980</xdr:colOff>
      <xdr:row>4</xdr:row>
      <xdr:rowOff>152400</xdr:rowOff>
    </xdr:from>
    <xdr:to>
      <xdr:col>18</xdr:col>
      <xdr:colOff>137160</xdr:colOff>
      <xdr:row>6</xdr:row>
      <xdr:rowOff>106680</xdr:rowOff>
    </xdr:to>
    <xdr:sp macro="" textlink="'Pivot Tables'!I39">
      <xdr:nvSpPr>
        <xdr:cNvPr id="32" name="TextBox 31">
          <a:extLst>
            <a:ext uri="{FF2B5EF4-FFF2-40B4-BE49-F238E27FC236}">
              <a16:creationId xmlns:a16="http://schemas.microsoft.com/office/drawing/2014/main" id="{9AA15169-C4ED-8B24-45AD-954A38F2BD12}"/>
            </a:ext>
          </a:extLst>
        </xdr:cNvPr>
        <xdr:cNvSpPr txBox="1"/>
      </xdr:nvSpPr>
      <xdr:spPr>
        <a:xfrm>
          <a:off x="9364980" y="1066800"/>
          <a:ext cx="17449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2C5292-4BCF-4DB3-8C54-A79B0FCA5D2C}" type="TxLink">
            <a:rPr lang="en-US" sz="1800" b="1" i="0" u="none" strike="noStrike">
              <a:solidFill>
                <a:srgbClr val="000000"/>
              </a:solidFill>
              <a:latin typeface="Calibri"/>
              <a:ea typeface="Calibri"/>
              <a:cs typeface="Calibri"/>
            </a:rPr>
            <a:pPr marL="0" indent="0" algn="ctr"/>
            <a:t>200</a:t>
          </a:fld>
          <a:endParaRPr lang="en-US" sz="1800" b="1" i="0" u="none" strike="noStrike">
            <a:solidFill>
              <a:srgbClr val="000000"/>
            </a:solidFill>
            <a:latin typeface="Calibri"/>
            <a:ea typeface="Calibri"/>
            <a:cs typeface="Calibri"/>
          </a:endParaRPr>
        </a:p>
      </xdr:txBody>
    </xdr:sp>
    <xdr:clientData/>
  </xdr:twoCellAnchor>
  <xdr:twoCellAnchor>
    <xdr:from>
      <xdr:col>15</xdr:col>
      <xdr:colOff>281940</xdr:colOff>
      <xdr:row>3</xdr:row>
      <xdr:rowOff>99060</xdr:rowOff>
    </xdr:from>
    <xdr:to>
      <xdr:col>18</xdr:col>
      <xdr:colOff>167640</xdr:colOff>
      <xdr:row>4</xdr:row>
      <xdr:rowOff>121920</xdr:rowOff>
    </xdr:to>
    <xdr:sp macro="" textlink="">
      <xdr:nvSpPr>
        <xdr:cNvPr id="33" name="TextBox 32">
          <a:extLst>
            <a:ext uri="{FF2B5EF4-FFF2-40B4-BE49-F238E27FC236}">
              <a16:creationId xmlns:a16="http://schemas.microsoft.com/office/drawing/2014/main" id="{37B194EF-5B6E-B566-2276-CCE8BD91B73B}"/>
            </a:ext>
          </a:extLst>
        </xdr:cNvPr>
        <xdr:cNvSpPr txBox="1"/>
      </xdr:nvSpPr>
      <xdr:spPr>
        <a:xfrm>
          <a:off x="9425940" y="830580"/>
          <a:ext cx="1714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mn-lt"/>
              <a:ea typeface="Calibri"/>
              <a:cs typeface="Calibri"/>
            </a:rPr>
            <a:t>Total Orders</a:t>
          </a:r>
        </a:p>
      </xdr:txBody>
    </xdr:sp>
    <xdr:clientData/>
  </xdr:twoCellAnchor>
  <xdr:twoCellAnchor>
    <xdr:from>
      <xdr:col>19</xdr:col>
      <xdr:colOff>388620</xdr:colOff>
      <xdr:row>3</xdr:row>
      <xdr:rowOff>30480</xdr:rowOff>
    </xdr:from>
    <xdr:to>
      <xdr:col>23</xdr:col>
      <xdr:colOff>121920</xdr:colOff>
      <xdr:row>4</xdr:row>
      <xdr:rowOff>99060</xdr:rowOff>
    </xdr:to>
    <xdr:sp macro="" textlink="">
      <xdr:nvSpPr>
        <xdr:cNvPr id="34" name="TextBox 33">
          <a:extLst>
            <a:ext uri="{FF2B5EF4-FFF2-40B4-BE49-F238E27FC236}">
              <a16:creationId xmlns:a16="http://schemas.microsoft.com/office/drawing/2014/main" id="{9F3B4F6C-D257-6802-3FDD-3076C7CE3E8A}"/>
            </a:ext>
          </a:extLst>
        </xdr:cNvPr>
        <xdr:cNvSpPr txBox="1"/>
      </xdr:nvSpPr>
      <xdr:spPr>
        <a:xfrm>
          <a:off x="11971020" y="762000"/>
          <a:ext cx="2171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tx1"/>
              </a:solidFill>
              <a:latin typeface="+mn-lt"/>
              <a:ea typeface="Calibri"/>
              <a:cs typeface="Calibri"/>
            </a:rPr>
            <a:t>Average Order Value</a:t>
          </a:r>
        </a:p>
      </xdr:txBody>
    </xdr:sp>
    <xdr:clientData/>
  </xdr:twoCellAnchor>
  <xdr:twoCellAnchor>
    <xdr:from>
      <xdr:col>20</xdr:col>
      <xdr:colOff>213360</xdr:colOff>
      <xdr:row>4</xdr:row>
      <xdr:rowOff>137160</xdr:rowOff>
    </xdr:from>
    <xdr:to>
      <xdr:col>23</xdr:col>
      <xdr:colOff>129540</xdr:colOff>
      <xdr:row>6</xdr:row>
      <xdr:rowOff>91440</xdr:rowOff>
    </xdr:to>
    <xdr:sp macro="" textlink="'Pivot Tables'!K39">
      <xdr:nvSpPr>
        <xdr:cNvPr id="35" name="TextBox 34">
          <a:extLst>
            <a:ext uri="{FF2B5EF4-FFF2-40B4-BE49-F238E27FC236}">
              <a16:creationId xmlns:a16="http://schemas.microsoft.com/office/drawing/2014/main" id="{48685026-1CF6-5756-EE6C-166D759F80ED}"/>
            </a:ext>
          </a:extLst>
        </xdr:cNvPr>
        <xdr:cNvSpPr txBox="1"/>
      </xdr:nvSpPr>
      <xdr:spPr>
        <a:xfrm>
          <a:off x="12405360" y="868680"/>
          <a:ext cx="17449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436162-234B-45DB-A0F1-A42C5316CE8E}" type="TxLink">
            <a:rPr lang="en-US" sz="1800" b="1" i="0" u="none" strike="noStrike">
              <a:solidFill>
                <a:srgbClr val="000000"/>
              </a:solidFill>
              <a:latin typeface="Calibri"/>
              <a:ea typeface="Calibri"/>
              <a:cs typeface="Calibri"/>
            </a:rPr>
            <a:pPr marL="0" indent="0" algn="ctr"/>
            <a:t>27.5 K</a:t>
          </a:fld>
          <a:endParaRPr lang="en-US" sz="1800" b="1" i="0" u="none" strike="noStrike">
            <a:solidFill>
              <a:srgbClr val="000000"/>
            </a:solidFill>
            <a:latin typeface="Calibri"/>
            <a:ea typeface="Calibri"/>
            <a:cs typeface="Calibri"/>
          </a:endParaRPr>
        </a:p>
      </xdr:txBody>
    </xdr:sp>
    <xdr:clientData/>
  </xdr:twoCellAnchor>
  <xdr:twoCellAnchor editAs="oneCell">
    <xdr:from>
      <xdr:col>14</xdr:col>
      <xdr:colOff>510540</xdr:colOff>
      <xdr:row>3</xdr:row>
      <xdr:rowOff>68580</xdr:rowOff>
    </xdr:from>
    <xdr:to>
      <xdr:col>15</xdr:col>
      <xdr:colOff>495300</xdr:colOff>
      <xdr:row>6</xdr:row>
      <xdr:rowOff>99060</xdr:rowOff>
    </xdr:to>
    <xdr:pic>
      <xdr:nvPicPr>
        <xdr:cNvPr id="40" name="Graphic 39" descr="Shopping cart with solid fill">
          <a:extLst>
            <a:ext uri="{FF2B5EF4-FFF2-40B4-BE49-F238E27FC236}">
              <a16:creationId xmlns:a16="http://schemas.microsoft.com/office/drawing/2014/main" id="{C1C296DD-A08A-6736-C816-7F5E2C8759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44940" y="800100"/>
          <a:ext cx="594360" cy="579120"/>
        </a:xfrm>
        <a:prstGeom prst="rect">
          <a:avLst/>
        </a:prstGeom>
      </xdr:spPr>
    </xdr:pic>
    <xdr:clientData/>
  </xdr:twoCellAnchor>
  <xdr:twoCellAnchor editAs="oneCell">
    <xdr:from>
      <xdr:col>19</xdr:col>
      <xdr:colOff>502920</xdr:colOff>
      <xdr:row>4</xdr:row>
      <xdr:rowOff>53340</xdr:rowOff>
    </xdr:from>
    <xdr:to>
      <xdr:col>20</xdr:col>
      <xdr:colOff>432507</xdr:colOff>
      <xdr:row>6</xdr:row>
      <xdr:rowOff>152400</xdr:rowOff>
    </xdr:to>
    <xdr:pic>
      <xdr:nvPicPr>
        <xdr:cNvPr id="42" name="Graphic 41" descr="Newspaper with solid fill">
          <a:extLst>
            <a:ext uri="{FF2B5EF4-FFF2-40B4-BE49-F238E27FC236}">
              <a16:creationId xmlns:a16="http://schemas.microsoft.com/office/drawing/2014/main" id="{E8662EE2-E47C-4130-4569-C58C7B3A15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85320" y="967740"/>
          <a:ext cx="539187" cy="464820"/>
        </a:xfrm>
        <a:prstGeom prst="rect">
          <a:avLst/>
        </a:prstGeom>
      </xdr:spPr>
    </xdr:pic>
    <xdr:clientData/>
  </xdr:twoCellAnchor>
  <xdr:twoCellAnchor editAs="oneCell">
    <xdr:from>
      <xdr:col>9</xdr:col>
      <xdr:colOff>594360</xdr:colOff>
      <xdr:row>3</xdr:row>
      <xdr:rowOff>68580</xdr:rowOff>
    </xdr:from>
    <xdr:to>
      <xdr:col>10</xdr:col>
      <xdr:colOff>579120</xdr:colOff>
      <xdr:row>6</xdr:row>
      <xdr:rowOff>114300</xdr:rowOff>
    </xdr:to>
    <xdr:pic>
      <xdr:nvPicPr>
        <xdr:cNvPr id="44" name="Graphic 43" descr="Books with solid fill">
          <a:extLst>
            <a:ext uri="{FF2B5EF4-FFF2-40B4-BE49-F238E27FC236}">
              <a16:creationId xmlns:a16="http://schemas.microsoft.com/office/drawing/2014/main" id="{86A6FA10-AE5A-7F4E-5BB9-05D1D7BD67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80760" y="800100"/>
          <a:ext cx="594360" cy="594360"/>
        </a:xfrm>
        <a:prstGeom prst="rect">
          <a:avLst/>
        </a:prstGeom>
      </xdr:spPr>
    </xdr:pic>
    <xdr:clientData/>
  </xdr:twoCellAnchor>
  <xdr:twoCellAnchor>
    <xdr:from>
      <xdr:col>2</xdr:col>
      <xdr:colOff>495300</xdr:colOff>
      <xdr:row>7</xdr:row>
      <xdr:rowOff>22860</xdr:rowOff>
    </xdr:from>
    <xdr:to>
      <xdr:col>8</xdr:col>
      <xdr:colOff>381000</xdr:colOff>
      <xdr:row>18</xdr:row>
      <xdr:rowOff>160020</xdr:rowOff>
    </xdr:to>
    <xdr:graphicFrame macro="">
      <xdr:nvGraphicFramePr>
        <xdr:cNvPr id="45" name="Chart 44">
          <a:extLst>
            <a:ext uri="{FF2B5EF4-FFF2-40B4-BE49-F238E27FC236}">
              <a16:creationId xmlns:a16="http://schemas.microsoft.com/office/drawing/2014/main" id="{685DE3B3-82DD-4A73-85A5-1C188E147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60960</xdr:colOff>
      <xdr:row>19</xdr:row>
      <xdr:rowOff>68580</xdr:rowOff>
    </xdr:from>
    <xdr:to>
      <xdr:col>4</xdr:col>
      <xdr:colOff>441960</xdr:colOff>
      <xdr:row>32</xdr:row>
      <xdr:rowOff>68580</xdr:rowOff>
    </xdr:to>
    <xdr:graphicFrame macro="">
      <xdr:nvGraphicFramePr>
        <xdr:cNvPr id="46" name="Chart 45">
          <a:extLst>
            <a:ext uri="{FF2B5EF4-FFF2-40B4-BE49-F238E27FC236}">
              <a16:creationId xmlns:a16="http://schemas.microsoft.com/office/drawing/2014/main" id="{571480CF-AECB-4B8C-B011-177B62CFA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60960</xdr:colOff>
      <xdr:row>6</xdr:row>
      <xdr:rowOff>175260</xdr:rowOff>
    </xdr:from>
    <xdr:to>
      <xdr:col>2</xdr:col>
      <xdr:colOff>411480</xdr:colOff>
      <xdr:row>19</xdr:row>
      <xdr:rowOff>22860</xdr:rowOff>
    </xdr:to>
    <mc:AlternateContent xmlns:mc="http://schemas.openxmlformats.org/markup-compatibility/2006" xmlns:a14="http://schemas.microsoft.com/office/drawing/2010/main">
      <mc:Choice Requires="a14">
        <xdr:graphicFrame macro="">
          <xdr:nvGraphicFramePr>
            <xdr:cNvPr id="47" name="City">
              <a:extLst>
                <a:ext uri="{FF2B5EF4-FFF2-40B4-BE49-F238E27FC236}">
                  <a16:creationId xmlns:a16="http://schemas.microsoft.com/office/drawing/2014/main" id="{FFA63D93-231A-4BD5-BC2A-70399EF0FE8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960" y="1272540"/>
              <a:ext cx="1569720" cy="2225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365760</xdr:colOff>
      <xdr:row>7</xdr:row>
      <xdr:rowOff>38099</xdr:rowOff>
    </xdr:from>
    <xdr:to>
      <xdr:col>23</xdr:col>
      <xdr:colOff>83820</xdr:colOff>
      <xdr:row>19</xdr:row>
      <xdr:rowOff>68580</xdr:rowOff>
    </xdr:to>
    <mc:AlternateContent xmlns:mc="http://schemas.openxmlformats.org/markup-compatibility/2006" xmlns:a14="http://schemas.microsoft.com/office/drawing/2010/main">
      <mc:Choice Requires="a14">
        <xdr:graphicFrame macro="">
          <xdr:nvGraphicFramePr>
            <xdr:cNvPr id="49" name="Category">
              <a:extLst>
                <a:ext uri="{FF2B5EF4-FFF2-40B4-BE49-F238E27FC236}">
                  <a16:creationId xmlns:a16="http://schemas.microsoft.com/office/drawing/2014/main" id="{ADDE3EB6-CDE8-402C-B77B-E4B2C20C89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57760" y="1318259"/>
              <a:ext cx="1546860" cy="2225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464820</xdr:colOff>
      <xdr:row>7</xdr:row>
      <xdr:rowOff>45720</xdr:rowOff>
    </xdr:from>
    <xdr:to>
      <xdr:col>14</xdr:col>
      <xdr:colOff>281940</xdr:colOff>
      <xdr:row>13</xdr:row>
      <xdr:rowOff>129540</xdr:rowOff>
    </xdr:to>
    <mc:AlternateContent xmlns:mc="http://schemas.openxmlformats.org/markup-compatibility/2006" xmlns:tsle="http://schemas.microsoft.com/office/drawing/2012/timeslicer">
      <mc:Choice Requires="tsle">
        <xdr:graphicFrame macro="">
          <xdr:nvGraphicFramePr>
            <xdr:cNvPr id="50" name="Date">
              <a:extLst>
                <a:ext uri="{FF2B5EF4-FFF2-40B4-BE49-F238E27FC236}">
                  <a16:creationId xmlns:a16="http://schemas.microsoft.com/office/drawing/2014/main" id="{C5E85248-2966-422A-8413-4FEF85C5793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341620" y="1325880"/>
              <a:ext cx="347472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8</xdr:col>
      <xdr:colOff>473660</xdr:colOff>
      <xdr:row>14</xdr:row>
      <xdr:rowOff>22860</xdr:rowOff>
    </xdr:from>
    <xdr:to>
      <xdr:col>14</xdr:col>
      <xdr:colOff>289560</xdr:colOff>
      <xdr:row>32</xdr:row>
      <xdr:rowOff>68579</xdr:rowOff>
    </xdr:to>
    <xdr:graphicFrame macro="">
      <xdr:nvGraphicFramePr>
        <xdr:cNvPr id="51" name="Chart 50">
          <a:extLst>
            <a:ext uri="{FF2B5EF4-FFF2-40B4-BE49-F238E27FC236}">
              <a16:creationId xmlns:a16="http://schemas.microsoft.com/office/drawing/2014/main" id="{30933DAE-6AE6-46C1-8575-51FA6F914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381000</xdr:colOff>
      <xdr:row>7</xdr:row>
      <xdr:rowOff>20683</xdr:rowOff>
    </xdr:from>
    <xdr:to>
      <xdr:col>20</xdr:col>
      <xdr:colOff>297180</xdr:colOff>
      <xdr:row>19</xdr:row>
      <xdr:rowOff>60960</xdr:rowOff>
    </xdr:to>
    <xdr:graphicFrame macro="">
      <xdr:nvGraphicFramePr>
        <xdr:cNvPr id="52" name="Chart 51">
          <a:extLst>
            <a:ext uri="{FF2B5EF4-FFF2-40B4-BE49-F238E27FC236}">
              <a16:creationId xmlns:a16="http://schemas.microsoft.com/office/drawing/2014/main" id="{55129B63-0B5E-4FFF-8F26-381E7CC9E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510663</xdr:colOff>
      <xdr:row>19</xdr:row>
      <xdr:rowOff>60961</xdr:rowOff>
    </xdr:from>
    <xdr:to>
      <xdr:col>8</xdr:col>
      <xdr:colOff>411480</xdr:colOff>
      <xdr:row>32</xdr:row>
      <xdr:rowOff>63289</xdr:rowOff>
    </xdr:to>
    <xdr:graphicFrame macro="">
      <xdr:nvGraphicFramePr>
        <xdr:cNvPr id="53" name="Chart 52">
          <a:extLst>
            <a:ext uri="{FF2B5EF4-FFF2-40B4-BE49-F238E27FC236}">
              <a16:creationId xmlns:a16="http://schemas.microsoft.com/office/drawing/2014/main" id="{6FE42B87-BEFD-4942-AAD4-C2870D31C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377141</xdr:colOff>
      <xdr:row>19</xdr:row>
      <xdr:rowOff>140299</xdr:rowOff>
    </xdr:from>
    <xdr:to>
      <xdr:col>23</xdr:col>
      <xdr:colOff>83605</xdr:colOff>
      <xdr:row>32</xdr:row>
      <xdr:rowOff>68580</xdr:rowOff>
    </xdr:to>
    <xdr:graphicFrame macro="">
      <xdr:nvGraphicFramePr>
        <xdr:cNvPr id="54" name="Chart 53">
          <a:extLst>
            <a:ext uri="{FF2B5EF4-FFF2-40B4-BE49-F238E27FC236}">
              <a16:creationId xmlns:a16="http://schemas.microsoft.com/office/drawing/2014/main" id="{F5C64006-CDDE-43E9-9C7A-C0E33F93E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274320</xdr:colOff>
      <xdr:row>0</xdr:row>
      <xdr:rowOff>152400</xdr:rowOff>
    </xdr:from>
    <xdr:to>
      <xdr:col>17</xdr:col>
      <xdr:colOff>541020</xdr:colOff>
      <xdr:row>2</xdr:row>
      <xdr:rowOff>22860</xdr:rowOff>
    </xdr:to>
    <xdr:sp macro="" textlink="">
      <xdr:nvSpPr>
        <xdr:cNvPr id="57" name="Callout: Quad Arrow 56">
          <a:extLst>
            <a:ext uri="{FF2B5EF4-FFF2-40B4-BE49-F238E27FC236}">
              <a16:creationId xmlns:a16="http://schemas.microsoft.com/office/drawing/2014/main" id="{401C14E3-32D8-79D0-2F7A-7C6C78DC9158}"/>
            </a:ext>
          </a:extLst>
        </xdr:cNvPr>
        <xdr:cNvSpPr/>
      </xdr:nvSpPr>
      <xdr:spPr>
        <a:xfrm>
          <a:off x="10637520" y="152400"/>
          <a:ext cx="266700" cy="236220"/>
        </a:xfrm>
        <a:prstGeom prst="quadArrowCallou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251460</xdr:colOff>
      <xdr:row>0</xdr:row>
      <xdr:rowOff>144780</xdr:rowOff>
    </xdr:from>
    <xdr:to>
      <xdr:col>5</xdr:col>
      <xdr:colOff>518160</xdr:colOff>
      <xdr:row>2</xdr:row>
      <xdr:rowOff>15240</xdr:rowOff>
    </xdr:to>
    <xdr:sp macro="" textlink="">
      <xdr:nvSpPr>
        <xdr:cNvPr id="58" name="Callout: Quad Arrow 57">
          <a:extLst>
            <a:ext uri="{FF2B5EF4-FFF2-40B4-BE49-F238E27FC236}">
              <a16:creationId xmlns:a16="http://schemas.microsoft.com/office/drawing/2014/main" id="{B76A6D9D-6F5F-43C3-9A0B-0E41D384D667}"/>
            </a:ext>
          </a:extLst>
        </xdr:cNvPr>
        <xdr:cNvSpPr/>
      </xdr:nvSpPr>
      <xdr:spPr>
        <a:xfrm>
          <a:off x="3299460" y="144780"/>
          <a:ext cx="266700" cy="236220"/>
        </a:xfrm>
        <a:prstGeom prst="quadArrowCallou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15240</xdr:colOff>
      <xdr:row>3</xdr:row>
      <xdr:rowOff>68580</xdr:rowOff>
    </xdr:from>
    <xdr:to>
      <xdr:col>6</xdr:col>
      <xdr:colOff>7620</xdr:colOff>
      <xdr:row>6</xdr:row>
      <xdr:rowOff>121920</xdr:rowOff>
    </xdr:to>
    <xdr:pic>
      <xdr:nvPicPr>
        <xdr:cNvPr id="62" name="Graphic 61" descr="Bar graph with upward trend with solid fill">
          <a:extLst>
            <a:ext uri="{FF2B5EF4-FFF2-40B4-BE49-F238E27FC236}">
              <a16:creationId xmlns:a16="http://schemas.microsoft.com/office/drawing/2014/main" id="{DF8E31E6-0CE8-DD77-CDA2-963F1052E86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063240" y="617220"/>
          <a:ext cx="601980" cy="6019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ntium Laptop" refreshedDate="46245.81955497685" createdVersion="8" refreshedVersion="8" minRefreshableVersion="3" recordCount="200" xr:uid="{35545582-1932-4D48-AF64-57051A522A4B}">
  <cacheSource type="worksheet">
    <worksheetSource name="Table1"/>
  </cacheSource>
  <cacheFields count="12">
    <cacheField name="Order ID" numFmtId="2">
      <sharedItems/>
    </cacheField>
    <cacheField name="Date" numFmtId="164">
      <sharedItems containsSemiMixedTypes="0" containsNonDate="0" containsDate="1" containsString="0" minDate="2026-01-01T00:00:00" maxDate="2026-07-02T00:00:00" count="126">
        <d v="2026-02-05T00:00:00"/>
        <d v="2026-01-09T00:00:00"/>
        <d v="2026-01-07T00:00:00"/>
        <d v="2026-05-31T00:00:00"/>
        <d v="2026-03-29T00:00:00"/>
        <d v="2026-04-08T00:00:00"/>
        <d v="2026-04-28T00:00:00"/>
        <d v="2026-06-10T00:00:00"/>
        <d v="2026-01-12T00:00:00"/>
        <d v="2026-01-26T00:00:00"/>
        <d v="2026-04-01T00:00:00"/>
        <d v="2026-02-13T00:00:00"/>
        <d v="2026-03-11T00:00:00"/>
        <d v="2026-01-15T00:00:00"/>
        <d v="2026-01-17T00:00:00"/>
        <d v="2026-05-08T00:00:00"/>
        <d v="2026-03-05T00:00:00"/>
        <d v="2026-04-20T00:00:00"/>
        <d v="2026-02-09T00:00:00"/>
        <d v="2026-06-02T00:00:00"/>
        <d v="2026-01-30T00:00:00"/>
        <d v="2026-03-09T00:00:00"/>
        <d v="2026-03-18T00:00:00"/>
        <d v="2026-02-11T00:00:00"/>
        <d v="2026-05-06T00:00:00"/>
        <d v="2026-03-03T00:00:00"/>
        <d v="2026-01-18T00:00:00"/>
        <d v="2026-05-21T00:00:00"/>
        <d v="2026-05-19T00:00:00"/>
        <d v="2026-06-21T00:00:00"/>
        <d v="2026-02-27T00:00:00"/>
        <d v="2026-01-02T00:00:00"/>
        <d v="2026-05-05T00:00:00"/>
        <d v="2026-05-02T00:00:00"/>
        <d v="2026-04-21T00:00:00"/>
        <d v="2026-01-14T00:00:00"/>
        <d v="2026-03-28T00:00:00"/>
        <d v="2026-05-18T00:00:00"/>
        <d v="2026-03-02T00:00:00"/>
        <d v="2026-04-13T00:00:00"/>
        <d v="2026-04-10T00:00:00"/>
        <d v="2026-05-23T00:00:00"/>
        <d v="2026-02-25T00:00:00"/>
        <d v="2026-05-11T00:00:00"/>
        <d v="2026-06-22T00:00:00"/>
        <d v="2026-05-26T00:00:00"/>
        <d v="2026-04-18T00:00:00"/>
        <d v="2026-02-22T00:00:00"/>
        <d v="2026-02-03T00:00:00"/>
        <d v="2026-01-19T00:00:00"/>
        <d v="2026-02-24T00:00:00"/>
        <d v="2026-03-04T00:00:00"/>
        <d v="2026-06-30T00:00:00"/>
        <d v="2026-05-22T00:00:00"/>
        <d v="2026-01-28T00:00:00"/>
        <d v="2026-02-23T00:00:00"/>
        <d v="2026-03-06T00:00:00"/>
        <d v="2026-03-12T00:00:00"/>
        <d v="2026-01-29T00:00:00"/>
        <d v="2026-05-30T00:00:00"/>
        <d v="2026-04-04T00:00:00"/>
        <d v="2026-02-15T00:00:00"/>
        <d v="2026-03-27T00:00:00"/>
        <d v="2026-06-29T00:00:00"/>
        <d v="2026-02-19T00:00:00"/>
        <d v="2026-03-13T00:00:00"/>
        <d v="2026-03-22T00:00:00"/>
        <d v="2026-05-28T00:00:00"/>
        <d v="2026-06-20T00:00:00"/>
        <d v="2026-02-01T00:00:00"/>
        <d v="2026-03-25T00:00:00"/>
        <d v="2026-01-01T00:00:00"/>
        <d v="2026-06-05T00:00:00"/>
        <d v="2026-06-19T00:00:00"/>
        <d v="2026-06-11T00:00:00"/>
        <d v="2026-02-07T00:00:00"/>
        <d v="2026-02-26T00:00:00"/>
        <d v="2026-04-29T00:00:00"/>
        <d v="2026-04-24T00:00:00"/>
        <d v="2026-03-23T00:00:00"/>
        <d v="2026-04-09T00:00:00"/>
        <d v="2026-03-26T00:00:00"/>
        <d v="2026-06-23T00:00:00"/>
        <d v="2026-06-09T00:00:00"/>
        <d v="2026-05-01T00:00:00"/>
        <d v="2026-03-31T00:00:00"/>
        <d v="2026-03-07T00:00:00"/>
        <d v="2026-02-20T00:00:00"/>
        <d v="2026-03-19T00:00:00"/>
        <d v="2026-05-25T00:00:00"/>
        <d v="2026-04-22T00:00:00"/>
        <d v="2026-06-01T00:00:00"/>
        <d v="2026-04-26T00:00:00"/>
        <d v="2026-05-07T00:00:00"/>
        <d v="2026-03-08T00:00:00"/>
        <d v="2026-05-13T00:00:00"/>
        <d v="2026-01-24T00:00:00"/>
        <d v="2026-05-29T00:00:00"/>
        <d v="2026-03-01T00:00:00"/>
        <d v="2026-05-04T00:00:00"/>
        <d v="2026-07-01T00:00:00"/>
        <d v="2026-01-04T00:00:00"/>
        <d v="2026-02-17T00:00:00"/>
        <d v="2026-04-17T00:00:00"/>
        <d v="2026-02-10T00:00:00"/>
        <d v="2026-04-15T00:00:00"/>
        <d v="2026-05-20T00:00:00"/>
        <d v="2026-04-30T00:00:00"/>
        <d v="2026-03-24T00:00:00"/>
        <d v="2026-02-14T00:00:00"/>
        <d v="2026-06-27T00:00:00"/>
        <d v="2026-02-18T00:00:00"/>
        <d v="2026-04-23T00:00:00"/>
        <d v="2026-03-16T00:00:00"/>
        <d v="2026-06-03T00:00:00"/>
        <d v="2026-03-14T00:00:00"/>
        <d v="2026-04-25T00:00:00"/>
        <d v="2026-06-16T00:00:00"/>
        <d v="2026-04-27T00:00:00"/>
        <d v="2026-04-12T00:00:00"/>
        <d v="2026-03-17T00:00:00"/>
        <d v="2026-04-16T00:00:00"/>
        <d v="2026-06-06T00:00:00"/>
        <d v="2026-04-19T00:00:00"/>
        <d v="2026-04-02T00:00:00"/>
        <d v="2026-06-18T00:00:00"/>
      </sharedItems>
      <fieldGroup par="11"/>
    </cacheField>
    <cacheField name="Customer" numFmtId="0">
      <sharedItems/>
    </cacheField>
    <cacheField name="City" numFmtId="0">
      <sharedItems containsBlank="1" count="7">
        <s v="Pune"/>
        <s v="Nashik"/>
        <s v="Ahmedabad"/>
        <s v="Bangalore"/>
        <s v="Delhi"/>
        <s v="Mumbai"/>
        <m u="1"/>
      </sharedItems>
    </cacheField>
    <cacheField name="Product" numFmtId="0">
      <sharedItems count="15">
        <s v="Smartphone"/>
        <s v="Monitor"/>
        <s v="Pen Set"/>
        <s v="Tablet"/>
        <s v="Mouse"/>
        <s v="Power Bank"/>
        <s v="Keyboard"/>
        <s v="Backpack"/>
        <s v="Notebook"/>
        <s v="USB Drive"/>
        <s v="Office Chair"/>
        <s v="Desk"/>
        <s v="Printer"/>
        <s v="Headphones"/>
        <s v="Laptop"/>
      </sharedItems>
    </cacheField>
    <cacheField name="Category" numFmtId="0">
      <sharedItems containsBlank="1" count="7">
        <s v="Electronics"/>
        <s v="Stationery"/>
        <s v="Accessories"/>
        <s v="Bags"/>
        <s v="Furniture"/>
        <s v="Office Equipment"/>
        <m u="1"/>
      </sharedItems>
    </cacheField>
    <cacheField name="Quantity" numFmtId="0">
      <sharedItems containsSemiMixedTypes="0" containsString="0" containsNumber="1" containsInteger="1" minValue="1" maxValue="5"/>
    </cacheField>
    <cacheField name="Price" numFmtId="165">
      <sharedItems containsSemiMixedTypes="0" containsString="0" containsNumber="1" minValue="237.5" maxValue="57750"/>
    </cacheField>
    <cacheField name="Sales" numFmtId="165">
      <sharedItems containsSemiMixedTypes="0" containsString="0" containsNumber="1" minValue="237.5" maxValue="261250"/>
    </cacheField>
    <cacheField name="Profit" numFmtId="165">
      <sharedItems containsSemiMixedTypes="0" containsString="0" containsNumber="1" minValue="22.86" maxValue="63935.55"/>
    </cacheField>
    <cacheField name="Days (Date)" numFmtId="0" databaseField="0">
      <fieldGroup base="1">
        <rangePr groupBy="days" startDate="2026-01-01T00:00:00" endDate="2026-07-02T00:00:00"/>
        <groupItems count="368">
          <s v="&lt;01-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7-26"/>
        </groupItems>
      </fieldGroup>
    </cacheField>
    <cacheField name="Months (Date)" numFmtId="0" databaseField="0">
      <fieldGroup base="1">
        <rangePr groupBy="months" startDate="2026-01-01T00:00:00" endDate="2026-07-02T00:00:00"/>
        <groupItems count="14">
          <s v="&lt;01-01-26"/>
          <s v="Jan"/>
          <s v="Feb"/>
          <s v="Mar"/>
          <s v="Apr"/>
          <s v="May"/>
          <s v="Jun"/>
          <s v="Jul"/>
          <s v="Aug"/>
          <s v="Sep"/>
          <s v="Oct"/>
          <s v="Nov"/>
          <s v="Dec"/>
          <s v="&gt;02-07-26"/>
        </groupItems>
      </fieldGroup>
    </cacheField>
  </cacheFields>
  <extLst>
    <ext xmlns:x14="http://schemas.microsoft.com/office/spreadsheetml/2009/9/main" uri="{725AE2AE-9491-48be-B2B4-4EB974FC3084}">
      <x14:pivotCacheDefinition pivotCacheId="524428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x v="0"/>
    <s v="Riya Pawar"/>
    <x v="0"/>
    <x v="0"/>
    <x v="0"/>
    <n v="1"/>
    <n v="28000"/>
    <n v="28000"/>
    <n v="3405.69"/>
  </r>
  <r>
    <s v="ORD0002"/>
    <x v="1"/>
    <s v="Sneha Jadhav"/>
    <x v="1"/>
    <x v="0"/>
    <x v="0"/>
    <n v="5"/>
    <n v="26600"/>
    <n v="133000"/>
    <n v="23991.040000000001"/>
  </r>
  <r>
    <s v="ORD0003"/>
    <x v="2"/>
    <s v="Aarav Sharma"/>
    <x v="0"/>
    <x v="0"/>
    <x v="0"/>
    <n v="2"/>
    <n v="28000"/>
    <n v="56000"/>
    <n v="9290.98"/>
  </r>
  <r>
    <s v="ORD0004"/>
    <x v="3"/>
    <s v="Nikhil Joshi"/>
    <x v="1"/>
    <x v="1"/>
    <x v="0"/>
    <n v="5"/>
    <n v="15750"/>
    <n v="78750"/>
    <n v="9251.15"/>
  </r>
  <r>
    <s v="ORD0005"/>
    <x v="4"/>
    <s v="Deepak Jadhav"/>
    <x v="0"/>
    <x v="2"/>
    <x v="1"/>
    <n v="1"/>
    <n v="350"/>
    <n v="350"/>
    <n v="69.540000000000006"/>
  </r>
  <r>
    <s v="ORD0006"/>
    <x v="5"/>
    <s v="Deepak Jadhav"/>
    <x v="0"/>
    <x v="3"/>
    <x v="0"/>
    <n v="2"/>
    <n v="22000"/>
    <n v="44000"/>
    <n v="4284.53"/>
  </r>
  <r>
    <s v="ORD0007"/>
    <x v="6"/>
    <s v="Amit Joshi"/>
    <x v="1"/>
    <x v="4"/>
    <x v="2"/>
    <n v="3"/>
    <n v="900"/>
    <n v="2700"/>
    <n v="586.47"/>
  </r>
  <r>
    <s v="ORD0008"/>
    <x v="7"/>
    <s v="Nikhil Joshi"/>
    <x v="1"/>
    <x v="0"/>
    <x v="0"/>
    <n v="4"/>
    <n v="26600"/>
    <n v="106400"/>
    <n v="18497.310000000001"/>
  </r>
  <r>
    <s v="ORD0009"/>
    <x v="8"/>
    <s v="Rahul Desai"/>
    <x v="2"/>
    <x v="5"/>
    <x v="0"/>
    <n v="3"/>
    <n v="2200"/>
    <n v="6600"/>
    <n v="1318.53"/>
  </r>
  <r>
    <s v="ORD0010"/>
    <x v="9"/>
    <s v="Rohan Gupta"/>
    <x v="3"/>
    <x v="1"/>
    <x v="0"/>
    <n v="3"/>
    <n v="14250"/>
    <n v="42750"/>
    <n v="9636.02"/>
  </r>
  <r>
    <s v="ORD0011"/>
    <x v="10"/>
    <s v="Karan Singh"/>
    <x v="4"/>
    <x v="6"/>
    <x v="2"/>
    <n v="4"/>
    <n v="1800"/>
    <n v="7200"/>
    <n v="775.09"/>
  </r>
  <r>
    <s v="ORD0012"/>
    <x v="11"/>
    <s v="Bhavna Shah"/>
    <x v="2"/>
    <x v="7"/>
    <x v="3"/>
    <n v="3"/>
    <n v="1710"/>
    <n v="5130"/>
    <n v="941.62"/>
  </r>
  <r>
    <s v="ORD0013"/>
    <x v="12"/>
    <s v="Nikhil Joshi"/>
    <x v="1"/>
    <x v="8"/>
    <x v="1"/>
    <n v="2"/>
    <n v="250"/>
    <n v="500"/>
    <n v="79.290000000000006"/>
  </r>
  <r>
    <s v="ORD0014"/>
    <x v="13"/>
    <s v="Priya Deshmukh"/>
    <x v="0"/>
    <x v="7"/>
    <x v="3"/>
    <n v="5"/>
    <n v="1800"/>
    <n v="9000"/>
    <n v="1767.46"/>
  </r>
  <r>
    <s v="ORD0015"/>
    <x v="14"/>
    <s v="Chetan Pawar"/>
    <x v="1"/>
    <x v="9"/>
    <x v="2"/>
    <n v="1"/>
    <n v="1200"/>
    <n v="1200"/>
    <n v="177.84"/>
  </r>
  <r>
    <s v="ORD0016"/>
    <x v="15"/>
    <s v="Bhavna Shah"/>
    <x v="2"/>
    <x v="5"/>
    <x v="0"/>
    <n v="5"/>
    <n v="2200"/>
    <n v="11000"/>
    <n v="1277.6099999999999"/>
  </r>
  <r>
    <s v="ORD0017"/>
    <x v="16"/>
    <s v="Karan Singh"/>
    <x v="4"/>
    <x v="5"/>
    <x v="0"/>
    <n v="4"/>
    <n v="2200"/>
    <n v="8800"/>
    <n v="1100.26"/>
  </r>
  <r>
    <s v="ORD0018"/>
    <x v="17"/>
    <s v="Sneha Jadhav"/>
    <x v="1"/>
    <x v="10"/>
    <x v="4"/>
    <n v="5"/>
    <n v="8500"/>
    <n v="42500"/>
    <n v="8797.17"/>
  </r>
  <r>
    <s v="ORD0019"/>
    <x v="0"/>
    <s v="Zoya Khan"/>
    <x v="3"/>
    <x v="11"/>
    <x v="4"/>
    <n v="4"/>
    <n v="11000"/>
    <n v="44000"/>
    <n v="5160.5200000000004"/>
  </r>
  <r>
    <s v="ORD0020"/>
    <x v="18"/>
    <s v="Neha Patil"/>
    <x v="0"/>
    <x v="12"/>
    <x v="5"/>
    <n v="1"/>
    <n v="11400"/>
    <n v="11400"/>
    <n v="2580.8200000000002"/>
  </r>
  <r>
    <s v="ORD0021"/>
    <x v="19"/>
    <s v="Riya Pawar"/>
    <x v="0"/>
    <x v="3"/>
    <x v="0"/>
    <n v="4"/>
    <n v="20900"/>
    <n v="83600"/>
    <n v="12156.31"/>
  </r>
  <r>
    <s v="ORD0022"/>
    <x v="20"/>
    <s v="Manish Chavan"/>
    <x v="0"/>
    <x v="10"/>
    <x v="4"/>
    <n v="3"/>
    <n v="8075"/>
    <n v="24225"/>
    <n v="4739.58"/>
  </r>
  <r>
    <s v="ORD0023"/>
    <x v="4"/>
    <s v="Rohan Gupta"/>
    <x v="3"/>
    <x v="5"/>
    <x v="0"/>
    <n v="5"/>
    <n v="2200"/>
    <n v="11000"/>
    <n v="2317.2800000000002"/>
  </r>
  <r>
    <s v="ORD0024"/>
    <x v="21"/>
    <s v="Amit Joshi"/>
    <x v="1"/>
    <x v="6"/>
    <x v="2"/>
    <n v="4"/>
    <n v="1800"/>
    <n v="7200"/>
    <n v="1131.3599999999999"/>
  </r>
  <r>
    <s v="ORD0025"/>
    <x v="22"/>
    <s v="Neha Patil"/>
    <x v="0"/>
    <x v="2"/>
    <x v="1"/>
    <n v="2"/>
    <n v="332.5"/>
    <n v="665"/>
    <n v="151.61000000000001"/>
  </r>
  <r>
    <s v="ORD0026"/>
    <x v="23"/>
    <s v="Vivek More"/>
    <x v="0"/>
    <x v="7"/>
    <x v="3"/>
    <n v="5"/>
    <n v="1800"/>
    <n v="9000"/>
    <n v="953.84"/>
  </r>
  <r>
    <s v="ORD0027"/>
    <x v="24"/>
    <s v="Nikhil Joshi"/>
    <x v="1"/>
    <x v="2"/>
    <x v="1"/>
    <n v="5"/>
    <n v="332.5"/>
    <n v="1662.5"/>
    <n v="302.27999999999997"/>
  </r>
  <r>
    <s v="ORD0028"/>
    <x v="25"/>
    <s v="Aarav Sharma"/>
    <x v="0"/>
    <x v="0"/>
    <x v="0"/>
    <n v="3"/>
    <n v="28000"/>
    <n v="84000"/>
    <n v="10139.379999999999"/>
  </r>
  <r>
    <s v="ORD0029"/>
    <x v="26"/>
    <s v="Zoya Khan"/>
    <x v="3"/>
    <x v="11"/>
    <x v="4"/>
    <n v="1"/>
    <n v="10450"/>
    <n v="10450"/>
    <n v="2136.23"/>
  </r>
  <r>
    <s v="ORD0030"/>
    <x v="27"/>
    <s v="Tanvi Shah"/>
    <x v="2"/>
    <x v="10"/>
    <x v="4"/>
    <n v="2"/>
    <n v="8500"/>
    <n v="17000"/>
    <n v="3266.68"/>
  </r>
  <r>
    <s v="ORD0031"/>
    <x v="28"/>
    <s v="Arjun Mehta"/>
    <x v="5"/>
    <x v="6"/>
    <x v="2"/>
    <n v="5"/>
    <n v="1890"/>
    <n v="9450"/>
    <n v="2305.25"/>
  </r>
  <r>
    <s v="ORD0032"/>
    <x v="29"/>
    <s v="Tanvi Shah"/>
    <x v="2"/>
    <x v="8"/>
    <x v="1"/>
    <n v="2"/>
    <n v="250"/>
    <n v="500"/>
    <n v="73.91"/>
  </r>
  <r>
    <s v="ORD0033"/>
    <x v="30"/>
    <s v="Riya Pawar"/>
    <x v="0"/>
    <x v="4"/>
    <x v="2"/>
    <n v="4"/>
    <n v="945"/>
    <n v="3780"/>
    <n v="380.16"/>
  </r>
  <r>
    <s v="ORD0034"/>
    <x v="31"/>
    <s v="Akash Kulkarni"/>
    <x v="0"/>
    <x v="4"/>
    <x v="2"/>
    <n v="1"/>
    <n v="900"/>
    <n v="900"/>
    <n v="162.03"/>
  </r>
  <r>
    <s v="ORD0035"/>
    <x v="1"/>
    <s v="Akash Kulkarni"/>
    <x v="0"/>
    <x v="8"/>
    <x v="1"/>
    <n v="1"/>
    <n v="250"/>
    <n v="250"/>
    <n v="22.86"/>
  </r>
  <r>
    <s v="ORD0036"/>
    <x v="32"/>
    <s v="Yash Patil"/>
    <x v="5"/>
    <x v="4"/>
    <x v="2"/>
    <n v="1"/>
    <n v="900"/>
    <n v="900"/>
    <n v="114.61"/>
  </r>
  <r>
    <s v="ORD0037"/>
    <x v="33"/>
    <s v="Bhavna Shah"/>
    <x v="2"/>
    <x v="10"/>
    <x v="4"/>
    <n v="2"/>
    <n v="8925"/>
    <n v="17850"/>
    <n v="2165.38"/>
  </r>
  <r>
    <s v="ORD0038"/>
    <x v="34"/>
    <s v="Varun Mehta"/>
    <x v="4"/>
    <x v="13"/>
    <x v="2"/>
    <n v="2"/>
    <n v="2375"/>
    <n v="4750"/>
    <n v="458.27"/>
  </r>
  <r>
    <s v="ORD0039"/>
    <x v="35"/>
    <s v="Isha More"/>
    <x v="5"/>
    <x v="13"/>
    <x v="2"/>
    <n v="4"/>
    <n v="2625"/>
    <n v="10500"/>
    <n v="2381.9499999999998"/>
  </r>
  <r>
    <s v="ORD0040"/>
    <x v="36"/>
    <s v="Rohan Gupta"/>
    <x v="3"/>
    <x v="7"/>
    <x v="3"/>
    <n v="1"/>
    <n v="1710"/>
    <n v="1710"/>
    <n v="253.84"/>
  </r>
  <r>
    <s v="ORD0041"/>
    <x v="37"/>
    <s v="Varun Mehta"/>
    <x v="4"/>
    <x v="9"/>
    <x v="2"/>
    <n v="1"/>
    <n v="1200"/>
    <n v="1200"/>
    <n v="135.08000000000001"/>
  </r>
  <r>
    <s v="ORD0042"/>
    <x v="16"/>
    <s v="Manish Chavan"/>
    <x v="0"/>
    <x v="3"/>
    <x v="0"/>
    <n v="4"/>
    <n v="22000"/>
    <n v="88000"/>
    <n v="11207.04"/>
  </r>
  <r>
    <s v="ORD0043"/>
    <x v="27"/>
    <s v="Yash Patil"/>
    <x v="5"/>
    <x v="5"/>
    <x v="0"/>
    <n v="1"/>
    <n v="2310"/>
    <n v="2310"/>
    <n v="502.11"/>
  </r>
  <r>
    <s v="ORD0044"/>
    <x v="38"/>
    <s v="Amit Joshi"/>
    <x v="1"/>
    <x v="14"/>
    <x v="0"/>
    <n v="5"/>
    <n v="52250"/>
    <n v="261250"/>
    <n v="63935.55"/>
  </r>
  <r>
    <s v="ORD0045"/>
    <x v="39"/>
    <s v="Arjun Mehta"/>
    <x v="5"/>
    <x v="13"/>
    <x v="2"/>
    <n v="4"/>
    <n v="2625"/>
    <n v="10500"/>
    <n v="1221.54"/>
  </r>
  <r>
    <s v="ORD0046"/>
    <x v="40"/>
    <s v="Zoya Khan"/>
    <x v="3"/>
    <x v="14"/>
    <x v="0"/>
    <n v="2"/>
    <n v="57750"/>
    <n v="115500"/>
    <n v="9282.32"/>
  </r>
  <r>
    <s v="ORD0047"/>
    <x v="41"/>
    <s v="Deepak Jadhav"/>
    <x v="0"/>
    <x v="5"/>
    <x v="0"/>
    <n v="4"/>
    <n v="2200"/>
    <n v="8800"/>
    <n v="1336.82"/>
  </r>
  <r>
    <s v="ORD0048"/>
    <x v="42"/>
    <s v="Rohan Gupta"/>
    <x v="3"/>
    <x v="8"/>
    <x v="1"/>
    <n v="4"/>
    <n v="250"/>
    <n v="1000"/>
    <n v="112.28"/>
  </r>
  <r>
    <s v="ORD0049"/>
    <x v="13"/>
    <s v="Aditi Patil"/>
    <x v="5"/>
    <x v="11"/>
    <x v="4"/>
    <n v="5"/>
    <n v="10450"/>
    <n v="52250"/>
    <n v="10823.89"/>
  </r>
  <r>
    <s v="ORD0050"/>
    <x v="43"/>
    <s v="Aditi Patil"/>
    <x v="5"/>
    <x v="11"/>
    <x v="4"/>
    <n v="4"/>
    <n v="11000"/>
    <n v="44000"/>
    <n v="3945.46"/>
  </r>
  <r>
    <s v="ORD0051"/>
    <x v="44"/>
    <s v="Akash Kulkarni"/>
    <x v="0"/>
    <x v="9"/>
    <x v="2"/>
    <n v="2"/>
    <n v="1140"/>
    <n v="2280"/>
    <n v="413.04"/>
  </r>
  <r>
    <s v="ORD0052"/>
    <x v="45"/>
    <s v="Yash Patil"/>
    <x v="5"/>
    <x v="1"/>
    <x v="0"/>
    <n v="4"/>
    <n v="14250"/>
    <n v="57000"/>
    <n v="13684.07"/>
  </r>
  <r>
    <s v="ORD0053"/>
    <x v="46"/>
    <s v="Chetan Pawar"/>
    <x v="1"/>
    <x v="11"/>
    <x v="4"/>
    <n v="5"/>
    <n v="10450"/>
    <n v="52250"/>
    <n v="9681.66"/>
  </r>
  <r>
    <s v="ORD0054"/>
    <x v="47"/>
    <s v="Rohan Gupta"/>
    <x v="3"/>
    <x v="11"/>
    <x v="4"/>
    <n v="5"/>
    <n v="11000"/>
    <n v="55000"/>
    <n v="13139.5"/>
  </r>
  <r>
    <s v="ORD0055"/>
    <x v="48"/>
    <s v="Rohan Gupta"/>
    <x v="3"/>
    <x v="8"/>
    <x v="1"/>
    <n v="3"/>
    <n v="250"/>
    <n v="750"/>
    <n v="93.87"/>
  </r>
  <r>
    <s v="ORD0056"/>
    <x v="49"/>
    <s v="Rohan Gupta"/>
    <x v="3"/>
    <x v="7"/>
    <x v="3"/>
    <n v="3"/>
    <n v="1890"/>
    <n v="5670"/>
    <n v="758.36"/>
  </r>
  <r>
    <s v="ORD0057"/>
    <x v="50"/>
    <s v="Aarav Sharma"/>
    <x v="0"/>
    <x v="12"/>
    <x v="5"/>
    <n v="5"/>
    <n v="11400"/>
    <n v="57000"/>
    <n v="5269.9"/>
  </r>
  <r>
    <s v="ORD0058"/>
    <x v="51"/>
    <s v="Neha Patil"/>
    <x v="0"/>
    <x v="6"/>
    <x v="2"/>
    <n v="2"/>
    <n v="1800"/>
    <n v="3600"/>
    <n v="827.09"/>
  </r>
  <r>
    <s v="ORD0059"/>
    <x v="52"/>
    <s v="Isha More"/>
    <x v="5"/>
    <x v="6"/>
    <x v="2"/>
    <n v="2"/>
    <n v="1890"/>
    <n v="3780"/>
    <n v="838.16"/>
  </r>
  <r>
    <s v="ORD0060"/>
    <x v="53"/>
    <s v="Diya Gupta"/>
    <x v="4"/>
    <x v="11"/>
    <x v="4"/>
    <n v="5"/>
    <n v="10450"/>
    <n v="52250"/>
    <n v="10112.290000000001"/>
  </r>
  <r>
    <s v="ORD0061"/>
    <x v="54"/>
    <s v="Diya Gupta"/>
    <x v="4"/>
    <x v="5"/>
    <x v="0"/>
    <n v="1"/>
    <n v="2200"/>
    <n v="2200"/>
    <n v="274.91000000000003"/>
  </r>
  <r>
    <s v="ORD0062"/>
    <x v="55"/>
    <s v="Sneha Jadhav"/>
    <x v="1"/>
    <x v="10"/>
    <x v="4"/>
    <n v="2"/>
    <n v="8500"/>
    <n v="17000"/>
    <n v="2174.2800000000002"/>
  </r>
  <r>
    <s v="ORD0063"/>
    <x v="56"/>
    <s v="Sahil Khan"/>
    <x v="5"/>
    <x v="4"/>
    <x v="2"/>
    <n v="2"/>
    <n v="900"/>
    <n v="1800"/>
    <n v="298.66000000000003"/>
  </r>
  <r>
    <s v="ORD0064"/>
    <x v="57"/>
    <s v="Zoya Khan"/>
    <x v="3"/>
    <x v="5"/>
    <x v="0"/>
    <n v="1"/>
    <n v="2090"/>
    <n v="2090"/>
    <n v="392.56"/>
  </r>
  <r>
    <s v="ORD0065"/>
    <x v="21"/>
    <s v="Aditi Patil"/>
    <x v="5"/>
    <x v="14"/>
    <x v="0"/>
    <n v="3"/>
    <n v="55000"/>
    <n v="165000"/>
    <n v="31071.03"/>
  </r>
  <r>
    <s v="ORD0066"/>
    <x v="58"/>
    <s v="Arjun Mehta"/>
    <x v="5"/>
    <x v="8"/>
    <x v="1"/>
    <n v="4"/>
    <n v="262.5"/>
    <n v="1050"/>
    <n v="184.12"/>
  </r>
  <r>
    <s v="ORD0067"/>
    <x v="59"/>
    <s v="Akash Kulkarni"/>
    <x v="0"/>
    <x v="5"/>
    <x v="0"/>
    <n v="2"/>
    <n v="2090"/>
    <n v="4180"/>
    <n v="927.46"/>
  </r>
  <r>
    <s v="ORD0068"/>
    <x v="60"/>
    <s v="Nikhil Joshi"/>
    <x v="1"/>
    <x v="3"/>
    <x v="0"/>
    <n v="4"/>
    <n v="22000"/>
    <n v="88000"/>
    <n v="7665.76"/>
  </r>
  <r>
    <s v="ORD0069"/>
    <x v="16"/>
    <s v="Zoya Khan"/>
    <x v="3"/>
    <x v="5"/>
    <x v="0"/>
    <n v="1"/>
    <n v="2200"/>
    <n v="2200"/>
    <n v="254.57"/>
  </r>
  <r>
    <s v="ORD0070"/>
    <x v="18"/>
    <s v="Rohan Gupta"/>
    <x v="3"/>
    <x v="0"/>
    <x v="0"/>
    <n v="3"/>
    <n v="29400"/>
    <n v="88200"/>
    <n v="21657.71"/>
  </r>
  <r>
    <s v="ORD0071"/>
    <x v="61"/>
    <s v="Priya Deshmukh"/>
    <x v="0"/>
    <x v="5"/>
    <x v="0"/>
    <n v="2"/>
    <n v="2200"/>
    <n v="4400"/>
    <n v="1082.2"/>
  </r>
  <r>
    <s v="ORD0072"/>
    <x v="62"/>
    <s v="Zoya Khan"/>
    <x v="3"/>
    <x v="13"/>
    <x v="2"/>
    <n v="1"/>
    <n v="2500"/>
    <n v="2500"/>
    <n v="513.04"/>
  </r>
  <r>
    <s v="ORD0073"/>
    <x v="63"/>
    <s v="Varun Mehta"/>
    <x v="4"/>
    <x v="5"/>
    <x v="0"/>
    <n v="4"/>
    <n v="2200"/>
    <n v="8800"/>
    <n v="1103.1400000000001"/>
  </r>
  <r>
    <s v="ORD0074"/>
    <x v="6"/>
    <s v="Amit Joshi"/>
    <x v="1"/>
    <x v="13"/>
    <x v="2"/>
    <n v="1"/>
    <n v="2625"/>
    <n v="2625"/>
    <n v="309.26"/>
  </r>
  <r>
    <s v="ORD0075"/>
    <x v="64"/>
    <s v="Isha More"/>
    <x v="5"/>
    <x v="6"/>
    <x v="2"/>
    <n v="2"/>
    <n v="1800"/>
    <n v="3600"/>
    <n v="302.48"/>
  </r>
  <r>
    <s v="ORD0076"/>
    <x v="65"/>
    <s v="Karan Singh"/>
    <x v="4"/>
    <x v="4"/>
    <x v="2"/>
    <n v="3"/>
    <n v="855"/>
    <n v="2565"/>
    <n v="626.80999999999995"/>
  </r>
  <r>
    <s v="ORD0077"/>
    <x v="37"/>
    <s v="Isha More"/>
    <x v="5"/>
    <x v="7"/>
    <x v="3"/>
    <n v="5"/>
    <n v="1890"/>
    <n v="9450"/>
    <n v="1847.65"/>
  </r>
  <r>
    <s v="ORD0078"/>
    <x v="21"/>
    <s v="Harsh Verma"/>
    <x v="3"/>
    <x v="14"/>
    <x v="0"/>
    <n v="1"/>
    <n v="55000"/>
    <n v="55000"/>
    <n v="6069.61"/>
  </r>
  <r>
    <s v="ORD0079"/>
    <x v="66"/>
    <s v="Aditi Patil"/>
    <x v="5"/>
    <x v="0"/>
    <x v="0"/>
    <n v="5"/>
    <n v="29400"/>
    <n v="147000"/>
    <n v="20398.72"/>
  </r>
  <r>
    <s v="ORD0080"/>
    <x v="67"/>
    <s v="Kavya Nair"/>
    <x v="3"/>
    <x v="11"/>
    <x v="4"/>
    <n v="5"/>
    <n v="10450"/>
    <n v="52250"/>
    <n v="7601.5"/>
  </r>
  <r>
    <s v="ORD0081"/>
    <x v="37"/>
    <s v="Bhavna Shah"/>
    <x v="2"/>
    <x v="6"/>
    <x v="2"/>
    <n v="1"/>
    <n v="1890"/>
    <n v="1890"/>
    <n v="151.74"/>
  </r>
  <r>
    <s v="ORD0082"/>
    <x v="68"/>
    <s v="Rohan Gupta"/>
    <x v="3"/>
    <x v="8"/>
    <x v="1"/>
    <n v="2"/>
    <n v="250"/>
    <n v="500"/>
    <n v="76.66"/>
  </r>
  <r>
    <s v="ORD0083"/>
    <x v="69"/>
    <s v="Priya Deshmukh"/>
    <x v="0"/>
    <x v="4"/>
    <x v="2"/>
    <n v="5"/>
    <n v="900"/>
    <n v="4500"/>
    <n v="867.49"/>
  </r>
  <r>
    <s v="ORD0084"/>
    <x v="70"/>
    <s v="Sneha Jadhav"/>
    <x v="1"/>
    <x v="5"/>
    <x v="0"/>
    <n v="3"/>
    <n v="2200"/>
    <n v="6600"/>
    <n v="1276.25"/>
  </r>
  <r>
    <s v="ORD0085"/>
    <x v="68"/>
    <s v="Karan Singh"/>
    <x v="4"/>
    <x v="8"/>
    <x v="1"/>
    <n v="3"/>
    <n v="250"/>
    <n v="750"/>
    <n v="84.46"/>
  </r>
  <r>
    <s v="ORD0086"/>
    <x v="71"/>
    <s v="Karan Singh"/>
    <x v="4"/>
    <x v="7"/>
    <x v="3"/>
    <n v="2"/>
    <n v="1800"/>
    <n v="3600"/>
    <n v="536.52"/>
  </r>
  <r>
    <s v="ORD0087"/>
    <x v="72"/>
    <s v="Diya Gupta"/>
    <x v="4"/>
    <x v="6"/>
    <x v="2"/>
    <n v="2"/>
    <n v="1890"/>
    <n v="3780"/>
    <n v="807.33"/>
  </r>
  <r>
    <s v="ORD0088"/>
    <x v="50"/>
    <s v="Riya Pawar"/>
    <x v="0"/>
    <x v="4"/>
    <x v="2"/>
    <n v="4"/>
    <n v="945"/>
    <n v="3780"/>
    <n v="586.53"/>
  </r>
  <r>
    <s v="ORD0089"/>
    <x v="73"/>
    <s v="Neha Patil"/>
    <x v="0"/>
    <x v="12"/>
    <x v="5"/>
    <n v="2"/>
    <n v="11400"/>
    <n v="22800"/>
    <n v="2923.96"/>
  </r>
  <r>
    <s v="ORD0090"/>
    <x v="38"/>
    <s v="Riya Pawar"/>
    <x v="0"/>
    <x v="11"/>
    <x v="4"/>
    <n v="3"/>
    <n v="10450"/>
    <n v="31350"/>
    <n v="6869.79"/>
  </r>
  <r>
    <s v="ORD0091"/>
    <x v="8"/>
    <s v="Rohan Gupta"/>
    <x v="3"/>
    <x v="6"/>
    <x v="2"/>
    <n v="2"/>
    <n v="1800"/>
    <n v="3600"/>
    <n v="378.18"/>
  </r>
  <r>
    <s v="ORD0092"/>
    <x v="74"/>
    <s v="Chetan Pawar"/>
    <x v="1"/>
    <x v="12"/>
    <x v="5"/>
    <n v="5"/>
    <n v="11400"/>
    <n v="57000"/>
    <n v="8972.98"/>
  </r>
  <r>
    <s v="ORD0093"/>
    <x v="75"/>
    <s v="Pooja Sharma"/>
    <x v="4"/>
    <x v="1"/>
    <x v="0"/>
    <n v="4"/>
    <n v="15750"/>
    <n v="63000"/>
    <n v="9320.2800000000007"/>
  </r>
  <r>
    <s v="ORD0094"/>
    <x v="76"/>
    <s v="Riya Pawar"/>
    <x v="0"/>
    <x v="8"/>
    <x v="1"/>
    <n v="1"/>
    <n v="237.5"/>
    <n v="237.5"/>
    <n v="50.43"/>
  </r>
  <r>
    <s v="ORD0095"/>
    <x v="16"/>
    <s v="Arjun Mehta"/>
    <x v="5"/>
    <x v="2"/>
    <x v="1"/>
    <n v="5"/>
    <n v="367.5"/>
    <n v="1837.5"/>
    <n v="162.69"/>
  </r>
  <r>
    <s v="ORD0096"/>
    <x v="77"/>
    <s v="Priya Deshmukh"/>
    <x v="0"/>
    <x v="9"/>
    <x v="2"/>
    <n v="1"/>
    <n v="1260"/>
    <n v="1260"/>
    <n v="129.36000000000001"/>
  </r>
  <r>
    <s v="ORD0097"/>
    <x v="78"/>
    <s v="Rohan Gupta"/>
    <x v="3"/>
    <x v="10"/>
    <x v="4"/>
    <n v="5"/>
    <n v="8500"/>
    <n v="42500"/>
    <n v="10264.040000000001"/>
  </r>
  <r>
    <s v="ORD0098"/>
    <x v="27"/>
    <s v="Rahul Desai"/>
    <x v="2"/>
    <x v="9"/>
    <x v="2"/>
    <n v="5"/>
    <n v="1260"/>
    <n v="6300"/>
    <n v="1393.54"/>
  </r>
  <r>
    <s v="ORD0099"/>
    <x v="16"/>
    <s v="Manish Chavan"/>
    <x v="0"/>
    <x v="5"/>
    <x v="0"/>
    <n v="2"/>
    <n v="2310"/>
    <n v="4620"/>
    <n v="723.08"/>
  </r>
  <r>
    <s v="ORD0100"/>
    <x v="57"/>
    <s v="Vivek More"/>
    <x v="0"/>
    <x v="7"/>
    <x v="3"/>
    <n v="3"/>
    <n v="1890"/>
    <n v="5670"/>
    <n v="1057.72"/>
  </r>
  <r>
    <s v="ORD0101"/>
    <x v="79"/>
    <s v="Manish Chavan"/>
    <x v="0"/>
    <x v="0"/>
    <x v="0"/>
    <n v="3"/>
    <n v="28000"/>
    <n v="84000"/>
    <n v="10600.09"/>
  </r>
  <r>
    <s v="ORD0102"/>
    <x v="80"/>
    <s v="Zoya Khan"/>
    <x v="3"/>
    <x v="10"/>
    <x v="4"/>
    <n v="1"/>
    <n v="8500"/>
    <n v="8500"/>
    <n v="897.95"/>
  </r>
  <r>
    <s v="ORD0103"/>
    <x v="81"/>
    <s v="Sahil Khan"/>
    <x v="5"/>
    <x v="3"/>
    <x v="0"/>
    <n v="2"/>
    <n v="20900"/>
    <n v="41800"/>
    <n v="6292.05"/>
  </r>
  <r>
    <s v="ORD0104"/>
    <x v="46"/>
    <s v="Nikhil Joshi"/>
    <x v="1"/>
    <x v="12"/>
    <x v="5"/>
    <n v="4"/>
    <n v="11400"/>
    <n v="45600"/>
    <n v="5251.38"/>
  </r>
  <r>
    <s v="ORD0105"/>
    <x v="67"/>
    <s v="Karan Singh"/>
    <x v="4"/>
    <x v="5"/>
    <x v="0"/>
    <n v="5"/>
    <n v="2090"/>
    <n v="10450"/>
    <n v="2357.98"/>
  </r>
  <r>
    <s v="ORD0106"/>
    <x v="40"/>
    <s v="Karan Singh"/>
    <x v="4"/>
    <x v="12"/>
    <x v="5"/>
    <n v="1"/>
    <n v="12000"/>
    <n v="12000"/>
    <n v="1569.17"/>
  </r>
  <r>
    <s v="ORD0107"/>
    <x v="12"/>
    <s v="Yash Patil"/>
    <x v="5"/>
    <x v="5"/>
    <x v="0"/>
    <n v="4"/>
    <n v="2200"/>
    <n v="8800"/>
    <n v="1434.39"/>
  </r>
  <r>
    <s v="ORD0108"/>
    <x v="82"/>
    <s v="Kavya Nair"/>
    <x v="3"/>
    <x v="12"/>
    <x v="5"/>
    <n v="1"/>
    <n v="12600"/>
    <n v="12600"/>
    <n v="1727.99"/>
  </r>
  <r>
    <s v="ORD0109"/>
    <x v="83"/>
    <s v="Varun Mehta"/>
    <x v="4"/>
    <x v="13"/>
    <x v="2"/>
    <n v="2"/>
    <n v="2625"/>
    <n v="5250"/>
    <n v="1240.69"/>
  </r>
  <r>
    <s v="ORD0110"/>
    <x v="17"/>
    <s v="Nikhil Joshi"/>
    <x v="1"/>
    <x v="14"/>
    <x v="0"/>
    <n v="4"/>
    <n v="52250"/>
    <n v="209000"/>
    <n v="19702.650000000001"/>
  </r>
  <r>
    <s v="ORD0111"/>
    <x v="5"/>
    <s v="Ananya Deshmukh"/>
    <x v="0"/>
    <x v="9"/>
    <x v="2"/>
    <n v="4"/>
    <n v="1200"/>
    <n v="4800"/>
    <n v="425.03"/>
  </r>
  <r>
    <s v="ORD0112"/>
    <x v="5"/>
    <s v="Harsh Verma"/>
    <x v="3"/>
    <x v="1"/>
    <x v="0"/>
    <n v="4"/>
    <n v="15000"/>
    <n v="60000"/>
    <n v="8242.51"/>
  </r>
  <r>
    <s v="ORD0113"/>
    <x v="84"/>
    <s v="Deepak Jadhav"/>
    <x v="0"/>
    <x v="2"/>
    <x v="1"/>
    <n v="4"/>
    <n v="350"/>
    <n v="1400"/>
    <n v="310.70999999999998"/>
  </r>
  <r>
    <s v="ORD0114"/>
    <x v="85"/>
    <s v="Aarav Sharma"/>
    <x v="0"/>
    <x v="8"/>
    <x v="1"/>
    <n v="5"/>
    <n v="237.5"/>
    <n v="1187.5"/>
    <n v="296.86"/>
  </r>
  <r>
    <s v="ORD0115"/>
    <x v="16"/>
    <s v="Chetan Pawar"/>
    <x v="1"/>
    <x v="7"/>
    <x v="3"/>
    <n v="1"/>
    <n v="1710"/>
    <n v="1710"/>
    <n v="356.06"/>
  </r>
  <r>
    <s v="ORD0116"/>
    <x v="33"/>
    <s v="Bhavna Shah"/>
    <x v="2"/>
    <x v="9"/>
    <x v="2"/>
    <n v="1"/>
    <n v="1200"/>
    <n v="1200"/>
    <n v="144.66"/>
  </r>
  <r>
    <s v="ORD0117"/>
    <x v="86"/>
    <s v="Rohan Gupta"/>
    <x v="3"/>
    <x v="0"/>
    <x v="0"/>
    <n v="5"/>
    <n v="28000"/>
    <n v="140000"/>
    <n v="22267.81"/>
  </r>
  <r>
    <s v="ORD0118"/>
    <x v="23"/>
    <s v="Tanvi Shah"/>
    <x v="2"/>
    <x v="4"/>
    <x v="2"/>
    <n v="2"/>
    <n v="855"/>
    <n v="1710"/>
    <n v="362.9"/>
  </r>
  <r>
    <s v="ORD0119"/>
    <x v="67"/>
    <s v="Diya Gupta"/>
    <x v="4"/>
    <x v="0"/>
    <x v="0"/>
    <n v="5"/>
    <n v="26600"/>
    <n v="133000"/>
    <n v="31642.14"/>
  </r>
  <r>
    <s v="ORD0120"/>
    <x v="87"/>
    <s v="Rohan Gupta"/>
    <x v="3"/>
    <x v="5"/>
    <x v="0"/>
    <n v="4"/>
    <n v="2310"/>
    <n v="9240"/>
    <n v="2218.06"/>
  </r>
  <r>
    <s v="ORD0121"/>
    <x v="88"/>
    <s v="Akash Kulkarni"/>
    <x v="0"/>
    <x v="11"/>
    <x v="4"/>
    <n v="2"/>
    <n v="10450"/>
    <n v="20900"/>
    <n v="4149.13"/>
  </r>
  <r>
    <s v="ORD0122"/>
    <x v="89"/>
    <s v="Yash Patil"/>
    <x v="5"/>
    <x v="7"/>
    <x v="3"/>
    <n v="5"/>
    <n v="1710"/>
    <n v="8550"/>
    <n v="1841.32"/>
  </r>
  <r>
    <s v="ORD0123"/>
    <x v="26"/>
    <s v="Varun Mehta"/>
    <x v="4"/>
    <x v="14"/>
    <x v="0"/>
    <n v="3"/>
    <n v="57750"/>
    <n v="173250"/>
    <n v="33343.46"/>
  </r>
  <r>
    <s v="ORD0124"/>
    <x v="24"/>
    <s v="Neha Patil"/>
    <x v="0"/>
    <x v="7"/>
    <x v="3"/>
    <n v="3"/>
    <n v="1710"/>
    <n v="5130"/>
    <n v="1151.31"/>
  </r>
  <r>
    <s v="ORD0125"/>
    <x v="90"/>
    <s v="Amit Joshi"/>
    <x v="1"/>
    <x v="13"/>
    <x v="2"/>
    <n v="3"/>
    <n v="2625"/>
    <n v="7875"/>
    <n v="1576.91"/>
  </r>
  <r>
    <s v="ORD0126"/>
    <x v="37"/>
    <s v="Arjun Mehta"/>
    <x v="5"/>
    <x v="8"/>
    <x v="1"/>
    <n v="5"/>
    <n v="250"/>
    <n v="1250"/>
    <n v="230.88"/>
  </r>
  <r>
    <s v="ORD0127"/>
    <x v="91"/>
    <s v="Tanvi Shah"/>
    <x v="2"/>
    <x v="12"/>
    <x v="5"/>
    <n v="4"/>
    <n v="12600"/>
    <n v="50400"/>
    <n v="11106.89"/>
  </r>
  <r>
    <s v="ORD0128"/>
    <x v="92"/>
    <s v="Deepak Jadhav"/>
    <x v="0"/>
    <x v="4"/>
    <x v="2"/>
    <n v="2"/>
    <n v="855"/>
    <n v="1710"/>
    <n v="217.88"/>
  </r>
  <r>
    <s v="ORD0129"/>
    <x v="93"/>
    <s v="Chetan Pawar"/>
    <x v="1"/>
    <x v="2"/>
    <x v="1"/>
    <n v="4"/>
    <n v="367.5"/>
    <n v="1470"/>
    <n v="201.67"/>
  </r>
  <r>
    <s v="ORD0130"/>
    <x v="94"/>
    <s v="Yash Patil"/>
    <x v="5"/>
    <x v="4"/>
    <x v="2"/>
    <n v="2"/>
    <n v="945"/>
    <n v="1890"/>
    <n v="219.35"/>
  </r>
  <r>
    <s v="ORD0131"/>
    <x v="95"/>
    <s v="Harsh Verma"/>
    <x v="3"/>
    <x v="6"/>
    <x v="2"/>
    <n v="5"/>
    <n v="1800"/>
    <n v="9000"/>
    <n v="1570.36"/>
  </r>
  <r>
    <s v="ORD0132"/>
    <x v="25"/>
    <s v="Bhavna Shah"/>
    <x v="2"/>
    <x v="0"/>
    <x v="0"/>
    <n v="2"/>
    <n v="29400"/>
    <n v="58800"/>
    <n v="9587.82"/>
  </r>
  <r>
    <s v="ORD0133"/>
    <x v="96"/>
    <s v="Sahil Khan"/>
    <x v="5"/>
    <x v="12"/>
    <x v="5"/>
    <n v="4"/>
    <n v="12600"/>
    <n v="50400"/>
    <n v="10825.85"/>
  </r>
  <r>
    <s v="ORD0134"/>
    <x v="97"/>
    <s v="Diya Gupta"/>
    <x v="4"/>
    <x v="1"/>
    <x v="0"/>
    <n v="4"/>
    <n v="15000"/>
    <n v="60000"/>
    <n v="7923.3"/>
  </r>
  <r>
    <s v="ORD0135"/>
    <x v="27"/>
    <s v="Isha More"/>
    <x v="5"/>
    <x v="12"/>
    <x v="5"/>
    <n v="5"/>
    <n v="12000"/>
    <n v="60000"/>
    <n v="9140.14"/>
  </r>
  <r>
    <s v="ORD0136"/>
    <x v="98"/>
    <s v="Harsh Verma"/>
    <x v="3"/>
    <x v="4"/>
    <x v="2"/>
    <n v="4"/>
    <n v="900"/>
    <n v="3600"/>
    <n v="475.65"/>
  </r>
  <r>
    <s v="ORD0137"/>
    <x v="37"/>
    <s v="Amit Joshi"/>
    <x v="1"/>
    <x v="8"/>
    <x v="1"/>
    <n v="2"/>
    <n v="250"/>
    <n v="500"/>
    <n v="50.16"/>
  </r>
  <r>
    <s v="ORD0138"/>
    <x v="99"/>
    <s v="Tanvi Shah"/>
    <x v="2"/>
    <x v="8"/>
    <x v="1"/>
    <n v="2"/>
    <n v="250"/>
    <n v="500"/>
    <n v="58.39"/>
  </r>
  <r>
    <s v="ORD0139"/>
    <x v="64"/>
    <s v="Deepak Jadhav"/>
    <x v="0"/>
    <x v="8"/>
    <x v="1"/>
    <n v="5"/>
    <n v="250"/>
    <n v="1250"/>
    <n v="308.36"/>
  </r>
  <r>
    <s v="ORD0140"/>
    <x v="100"/>
    <s v="Diya Gupta"/>
    <x v="4"/>
    <x v="1"/>
    <x v="0"/>
    <n v="3"/>
    <n v="15000"/>
    <n v="45000"/>
    <n v="5912.35"/>
  </r>
  <r>
    <s v="ORD0141"/>
    <x v="53"/>
    <s v="Nikhil Joshi"/>
    <x v="1"/>
    <x v="3"/>
    <x v="0"/>
    <n v="3"/>
    <n v="20900"/>
    <n v="62700"/>
    <n v="15401.01"/>
  </r>
  <r>
    <s v="ORD0142"/>
    <x v="101"/>
    <s v="Diya Gupta"/>
    <x v="4"/>
    <x v="8"/>
    <x v="1"/>
    <n v="2"/>
    <n v="262.5"/>
    <n v="525"/>
    <n v="51.16"/>
  </r>
  <r>
    <s v="ORD0143"/>
    <x v="102"/>
    <s v="Pooja Sharma"/>
    <x v="4"/>
    <x v="6"/>
    <x v="2"/>
    <n v="4"/>
    <n v="1890"/>
    <n v="7560"/>
    <n v="1170.8900000000001"/>
  </r>
  <r>
    <s v="ORD0144"/>
    <x v="39"/>
    <s v="Aditi Patil"/>
    <x v="5"/>
    <x v="6"/>
    <x v="2"/>
    <n v="4"/>
    <n v="1710"/>
    <n v="6840"/>
    <n v="1503.16"/>
  </r>
  <r>
    <s v="ORD0145"/>
    <x v="89"/>
    <s v="Meera Kulkarni"/>
    <x v="5"/>
    <x v="0"/>
    <x v="0"/>
    <n v="5"/>
    <n v="26600"/>
    <n v="133000"/>
    <n v="14070.55"/>
  </r>
  <r>
    <s v="ORD0146"/>
    <x v="103"/>
    <s v="Diya Gupta"/>
    <x v="4"/>
    <x v="0"/>
    <x v="0"/>
    <n v="2"/>
    <n v="26600"/>
    <n v="53200"/>
    <n v="9303.2099999999991"/>
  </r>
  <r>
    <s v="ORD0147"/>
    <x v="5"/>
    <s v="Rahul Desai"/>
    <x v="2"/>
    <x v="11"/>
    <x v="4"/>
    <n v="5"/>
    <n v="11000"/>
    <n v="55000"/>
    <n v="11652.73"/>
  </r>
  <r>
    <s v="ORD0148"/>
    <x v="17"/>
    <s v="Manish Chavan"/>
    <x v="0"/>
    <x v="5"/>
    <x v="0"/>
    <n v="4"/>
    <n v="2200"/>
    <n v="8800"/>
    <n v="1990.81"/>
  </r>
  <r>
    <s v="ORD0149"/>
    <x v="9"/>
    <s v="Diya Gupta"/>
    <x v="4"/>
    <x v="11"/>
    <x v="4"/>
    <n v="5"/>
    <n v="10450"/>
    <n v="52250"/>
    <n v="9595.0499999999993"/>
  </r>
  <r>
    <s v="ORD0150"/>
    <x v="104"/>
    <s v="Tanvi Shah"/>
    <x v="2"/>
    <x v="1"/>
    <x v="0"/>
    <n v="2"/>
    <n v="15000"/>
    <n v="30000"/>
    <n v="5768.18"/>
  </r>
  <r>
    <s v="ORD0151"/>
    <x v="105"/>
    <s v="Chetan Pawar"/>
    <x v="1"/>
    <x v="3"/>
    <x v="0"/>
    <n v="5"/>
    <n v="20900"/>
    <n v="104500"/>
    <n v="11140.8"/>
  </r>
  <r>
    <s v="ORD0152"/>
    <x v="98"/>
    <s v="Manish Chavan"/>
    <x v="0"/>
    <x v="8"/>
    <x v="1"/>
    <n v="5"/>
    <n v="262.5"/>
    <n v="1312.5"/>
    <n v="169.99"/>
  </r>
  <r>
    <s v="ORD0153"/>
    <x v="98"/>
    <s v="Diya Gupta"/>
    <x v="4"/>
    <x v="8"/>
    <x v="1"/>
    <n v="3"/>
    <n v="262.5"/>
    <n v="787.5"/>
    <n v="72.53"/>
  </r>
  <r>
    <s v="ORD0154"/>
    <x v="106"/>
    <s v="Priya Deshmukh"/>
    <x v="0"/>
    <x v="6"/>
    <x v="2"/>
    <n v="5"/>
    <n v="1800"/>
    <n v="9000"/>
    <n v="1370.46"/>
  </r>
  <r>
    <s v="ORD0155"/>
    <x v="49"/>
    <s v="Chetan Pawar"/>
    <x v="1"/>
    <x v="7"/>
    <x v="3"/>
    <n v="2"/>
    <n v="1800"/>
    <n v="3600"/>
    <n v="793.9"/>
  </r>
  <r>
    <s v="ORD0156"/>
    <x v="107"/>
    <s v="Aditi Patil"/>
    <x v="5"/>
    <x v="3"/>
    <x v="0"/>
    <n v="3"/>
    <n v="22000"/>
    <n v="66000"/>
    <n v="10207.299999999999"/>
  </r>
  <r>
    <s v="ORD0157"/>
    <x v="93"/>
    <s v="Sahil Khan"/>
    <x v="5"/>
    <x v="6"/>
    <x v="2"/>
    <n v="4"/>
    <n v="1800"/>
    <n v="7200"/>
    <n v="1188.58"/>
  </r>
  <r>
    <s v="ORD0158"/>
    <x v="108"/>
    <s v="Manish Chavan"/>
    <x v="0"/>
    <x v="0"/>
    <x v="0"/>
    <n v="5"/>
    <n v="26600"/>
    <n v="133000"/>
    <n v="30749.85"/>
  </r>
  <r>
    <s v="ORD0159"/>
    <x v="44"/>
    <s v="Rahul Desai"/>
    <x v="2"/>
    <x v="6"/>
    <x v="2"/>
    <n v="1"/>
    <n v="1710"/>
    <n v="1710"/>
    <n v="203.35"/>
  </r>
  <r>
    <s v="ORD0160"/>
    <x v="44"/>
    <s v="Vivek More"/>
    <x v="0"/>
    <x v="9"/>
    <x v="2"/>
    <n v="5"/>
    <n v="1140"/>
    <n v="5700"/>
    <n v="1424.59"/>
  </r>
  <r>
    <s v="ORD0161"/>
    <x v="109"/>
    <s v="Vivek More"/>
    <x v="0"/>
    <x v="6"/>
    <x v="2"/>
    <n v="5"/>
    <n v="1710"/>
    <n v="8550"/>
    <n v="1793.18"/>
  </r>
  <r>
    <s v="ORD0162"/>
    <x v="59"/>
    <s v="Meera Kulkarni"/>
    <x v="5"/>
    <x v="10"/>
    <x v="4"/>
    <n v="4"/>
    <n v="8500"/>
    <n v="34000"/>
    <n v="3769.01"/>
  </r>
  <r>
    <s v="ORD0163"/>
    <x v="105"/>
    <s v="Kavya Nair"/>
    <x v="3"/>
    <x v="7"/>
    <x v="3"/>
    <n v="4"/>
    <n v="1710"/>
    <n v="6840"/>
    <n v="1093.73"/>
  </r>
  <r>
    <s v="ORD0164"/>
    <x v="110"/>
    <s v="Harsh Verma"/>
    <x v="3"/>
    <x v="4"/>
    <x v="2"/>
    <n v="1"/>
    <n v="900"/>
    <n v="900"/>
    <n v="122.46"/>
  </r>
  <r>
    <s v="ORD0165"/>
    <x v="66"/>
    <s v="Meera Kulkarni"/>
    <x v="5"/>
    <x v="6"/>
    <x v="2"/>
    <n v="4"/>
    <n v="1710"/>
    <n v="6840"/>
    <n v="1076.07"/>
  </r>
  <r>
    <s v="ORD0166"/>
    <x v="71"/>
    <s v="Deepak Jadhav"/>
    <x v="0"/>
    <x v="4"/>
    <x v="2"/>
    <n v="1"/>
    <n v="945"/>
    <n v="945"/>
    <n v="214.55"/>
  </r>
  <r>
    <s v="ORD0167"/>
    <x v="111"/>
    <s v="Rohan Gupta"/>
    <x v="3"/>
    <x v="9"/>
    <x v="2"/>
    <n v="5"/>
    <n v="1260"/>
    <n v="6300"/>
    <n v="946.59"/>
  </r>
  <r>
    <s v="ORD0168"/>
    <x v="35"/>
    <s v="Neha Patil"/>
    <x v="0"/>
    <x v="4"/>
    <x v="2"/>
    <n v="5"/>
    <n v="945"/>
    <n v="4725"/>
    <n v="880.36"/>
  </r>
  <r>
    <s v="ORD0169"/>
    <x v="112"/>
    <s v="Bhavna Shah"/>
    <x v="2"/>
    <x v="6"/>
    <x v="2"/>
    <n v="5"/>
    <n v="1800"/>
    <n v="9000"/>
    <n v="2139.34"/>
  </r>
  <r>
    <s v="ORD0170"/>
    <x v="74"/>
    <s v="Zoya Khan"/>
    <x v="3"/>
    <x v="8"/>
    <x v="1"/>
    <n v="4"/>
    <n v="237.5"/>
    <n v="950"/>
    <n v="80.66"/>
  </r>
  <r>
    <s v="ORD0171"/>
    <x v="101"/>
    <s v="Rahul Desai"/>
    <x v="2"/>
    <x v="2"/>
    <x v="1"/>
    <n v="2"/>
    <n v="350"/>
    <n v="700"/>
    <n v="92.98"/>
  </r>
  <r>
    <s v="ORD0172"/>
    <x v="20"/>
    <s v="Nikhil Joshi"/>
    <x v="1"/>
    <x v="13"/>
    <x v="2"/>
    <n v="1"/>
    <n v="2500"/>
    <n v="2500"/>
    <n v="621.71"/>
  </r>
  <r>
    <s v="ORD0173"/>
    <x v="113"/>
    <s v="Manish Chavan"/>
    <x v="0"/>
    <x v="0"/>
    <x v="0"/>
    <n v="2"/>
    <n v="29400"/>
    <n v="58800"/>
    <n v="14026.8"/>
  </r>
  <r>
    <s v="ORD0174"/>
    <x v="84"/>
    <s v="Neha Patil"/>
    <x v="0"/>
    <x v="8"/>
    <x v="1"/>
    <n v="3"/>
    <n v="262.5"/>
    <n v="787.5"/>
    <n v="174.75"/>
  </r>
  <r>
    <s v="ORD0175"/>
    <x v="114"/>
    <s v="Chetan Pawar"/>
    <x v="1"/>
    <x v="12"/>
    <x v="5"/>
    <n v="5"/>
    <n v="12000"/>
    <n v="60000"/>
    <n v="8712.58"/>
  </r>
  <r>
    <s v="ORD0176"/>
    <x v="103"/>
    <s v="Neha Patil"/>
    <x v="0"/>
    <x v="8"/>
    <x v="1"/>
    <n v="2"/>
    <n v="237.5"/>
    <n v="475"/>
    <n v="60.31"/>
  </r>
  <r>
    <s v="ORD0177"/>
    <x v="115"/>
    <s v="Harsh Verma"/>
    <x v="3"/>
    <x v="5"/>
    <x v="0"/>
    <n v="5"/>
    <n v="2200"/>
    <n v="11000"/>
    <n v="2414.4299999999998"/>
  </r>
  <r>
    <s v="ORD0178"/>
    <x v="116"/>
    <s v="Sneha Jadhav"/>
    <x v="1"/>
    <x v="6"/>
    <x v="2"/>
    <n v="5"/>
    <n v="1890"/>
    <n v="9450"/>
    <n v="2146.04"/>
  </r>
  <r>
    <s v="ORD0179"/>
    <x v="106"/>
    <s v="Nikhil Joshi"/>
    <x v="1"/>
    <x v="12"/>
    <x v="5"/>
    <n v="3"/>
    <n v="12000"/>
    <n v="36000"/>
    <n v="6257.73"/>
  </r>
  <r>
    <s v="ORD0180"/>
    <x v="25"/>
    <s v="Karan Singh"/>
    <x v="4"/>
    <x v="12"/>
    <x v="5"/>
    <n v="3"/>
    <n v="12000"/>
    <n v="36000"/>
    <n v="8882.34"/>
  </r>
  <r>
    <s v="ORD0181"/>
    <x v="33"/>
    <s v="Pooja Sharma"/>
    <x v="4"/>
    <x v="13"/>
    <x v="2"/>
    <n v="2"/>
    <n v="2625"/>
    <n v="5250"/>
    <n v="458.96"/>
  </r>
  <r>
    <s v="ORD0182"/>
    <x v="117"/>
    <s v="Sahil Khan"/>
    <x v="5"/>
    <x v="5"/>
    <x v="0"/>
    <n v="4"/>
    <n v="2310"/>
    <n v="9240"/>
    <n v="2291.8000000000002"/>
  </r>
  <r>
    <s v="ORD0183"/>
    <x v="91"/>
    <s v="Ananya Deshmukh"/>
    <x v="0"/>
    <x v="12"/>
    <x v="5"/>
    <n v="1"/>
    <n v="12000"/>
    <n v="12000"/>
    <n v="1984.67"/>
  </r>
  <r>
    <s v="ORD0184"/>
    <x v="118"/>
    <s v="Harsh Verma"/>
    <x v="3"/>
    <x v="9"/>
    <x v="2"/>
    <n v="1"/>
    <n v="1260"/>
    <n v="1260"/>
    <n v="122.16"/>
  </r>
  <r>
    <s v="ORD0185"/>
    <x v="18"/>
    <s v="Aarav Sharma"/>
    <x v="0"/>
    <x v="8"/>
    <x v="1"/>
    <n v="2"/>
    <n v="262.5"/>
    <n v="525"/>
    <n v="119.73"/>
  </r>
  <r>
    <s v="ORD0186"/>
    <x v="119"/>
    <s v="Akash Kulkarni"/>
    <x v="0"/>
    <x v="12"/>
    <x v="5"/>
    <n v="3"/>
    <n v="12000"/>
    <n v="36000"/>
    <n v="6694.35"/>
  </r>
  <r>
    <s v="ORD0187"/>
    <x v="7"/>
    <s v="Riya Pawar"/>
    <x v="0"/>
    <x v="0"/>
    <x v="0"/>
    <n v="3"/>
    <n v="29400"/>
    <n v="88200"/>
    <n v="21362.37"/>
  </r>
  <r>
    <s v="ORD0188"/>
    <x v="38"/>
    <s v="Sahil Khan"/>
    <x v="5"/>
    <x v="5"/>
    <x v="0"/>
    <n v="4"/>
    <n v="2090"/>
    <n v="8360"/>
    <n v="1546.33"/>
  </r>
  <r>
    <s v="ORD0189"/>
    <x v="90"/>
    <s v="Riya Pawar"/>
    <x v="0"/>
    <x v="7"/>
    <x v="3"/>
    <n v="3"/>
    <n v="1800"/>
    <n v="5400"/>
    <n v="1117.53"/>
  </r>
  <r>
    <s v="ORD0190"/>
    <x v="22"/>
    <s v="Amit Joshi"/>
    <x v="1"/>
    <x v="2"/>
    <x v="1"/>
    <n v="1"/>
    <n v="367.5"/>
    <n v="367.5"/>
    <n v="39.79"/>
  </r>
  <r>
    <s v="ORD0191"/>
    <x v="120"/>
    <s v="Zoya Khan"/>
    <x v="3"/>
    <x v="14"/>
    <x v="0"/>
    <n v="1"/>
    <n v="55000"/>
    <n v="55000"/>
    <n v="11843.94"/>
  </r>
  <r>
    <s v="ORD0192"/>
    <x v="121"/>
    <s v="Isha More"/>
    <x v="5"/>
    <x v="4"/>
    <x v="2"/>
    <n v="4"/>
    <n v="900"/>
    <n v="3600"/>
    <n v="437.45"/>
  </r>
  <r>
    <s v="ORD0193"/>
    <x v="122"/>
    <s v="Pooja Sharma"/>
    <x v="4"/>
    <x v="7"/>
    <x v="3"/>
    <n v="2"/>
    <n v="1800"/>
    <n v="3600"/>
    <n v="395.14"/>
  </r>
  <r>
    <s v="ORD0194"/>
    <x v="59"/>
    <s v="Yash Patil"/>
    <x v="5"/>
    <x v="13"/>
    <x v="2"/>
    <n v="5"/>
    <n v="2500"/>
    <n v="12500"/>
    <n v="2057.54"/>
  </r>
  <r>
    <s v="ORD0195"/>
    <x v="68"/>
    <s v="Ananya Deshmukh"/>
    <x v="0"/>
    <x v="1"/>
    <x v="0"/>
    <n v="4"/>
    <n v="15000"/>
    <n v="60000"/>
    <n v="9487.6200000000008"/>
  </r>
  <r>
    <s v="ORD0196"/>
    <x v="104"/>
    <s v="Aarav Sharma"/>
    <x v="0"/>
    <x v="5"/>
    <x v="0"/>
    <n v="4"/>
    <n v="2200"/>
    <n v="8800"/>
    <n v="1717.71"/>
  </r>
  <r>
    <s v="ORD0197"/>
    <x v="123"/>
    <s v="Akash Kulkarni"/>
    <x v="0"/>
    <x v="12"/>
    <x v="5"/>
    <n v="3"/>
    <n v="12000"/>
    <n v="36000"/>
    <n v="6790.3"/>
  </r>
  <r>
    <s v="ORD0198"/>
    <x v="80"/>
    <s v="Sahil Khan"/>
    <x v="5"/>
    <x v="6"/>
    <x v="2"/>
    <n v="4"/>
    <n v="1800"/>
    <n v="7200"/>
    <n v="819.84"/>
  </r>
  <r>
    <s v="ORD0199"/>
    <x v="124"/>
    <s v="Yash Patil"/>
    <x v="5"/>
    <x v="12"/>
    <x v="5"/>
    <n v="1"/>
    <n v="12000"/>
    <n v="12000"/>
    <n v="1737.98"/>
  </r>
  <r>
    <s v="ORD0200"/>
    <x v="125"/>
    <s v="Pooja Sharma"/>
    <x v="4"/>
    <x v="6"/>
    <x v="2"/>
    <n v="3"/>
    <n v="1710"/>
    <n v="5130"/>
    <n v="1263.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CD98D1-18D9-4EDC-9DC8-E3BF964A0445}" name="Sales and 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Category">
  <location ref="S3:U10" firstHeaderRow="0" firstDataRow="1" firstDataCol="1"/>
  <pivotFields count="12">
    <pivotField showAll="0"/>
    <pivotField showAll="0">
      <items count="127">
        <item x="71"/>
        <item x="31"/>
        <item x="101"/>
        <item x="2"/>
        <item x="1"/>
        <item x="8"/>
        <item x="35"/>
        <item x="13"/>
        <item x="14"/>
        <item x="26"/>
        <item x="49"/>
        <item x="96"/>
        <item x="9"/>
        <item x="54"/>
        <item x="58"/>
        <item x="20"/>
        <item x="69"/>
        <item x="48"/>
        <item x="0"/>
        <item x="75"/>
        <item x="18"/>
        <item x="104"/>
        <item x="23"/>
        <item x="11"/>
        <item x="109"/>
        <item x="61"/>
        <item x="102"/>
        <item x="111"/>
        <item x="64"/>
        <item x="87"/>
        <item x="47"/>
        <item x="55"/>
        <item x="50"/>
        <item x="42"/>
        <item x="76"/>
        <item x="30"/>
        <item x="98"/>
        <item x="38"/>
        <item x="25"/>
        <item x="51"/>
        <item x="16"/>
        <item x="56"/>
        <item x="86"/>
        <item x="94"/>
        <item x="21"/>
        <item x="12"/>
        <item x="57"/>
        <item x="65"/>
        <item x="115"/>
        <item x="113"/>
        <item x="120"/>
        <item x="22"/>
        <item x="88"/>
        <item x="66"/>
        <item x="79"/>
        <item x="108"/>
        <item x="70"/>
        <item x="81"/>
        <item x="62"/>
        <item x="36"/>
        <item x="4"/>
        <item x="85"/>
        <item x="10"/>
        <item x="124"/>
        <item x="60"/>
        <item x="5"/>
        <item x="80"/>
        <item x="40"/>
        <item x="119"/>
        <item x="39"/>
        <item x="105"/>
        <item x="121"/>
        <item x="103"/>
        <item x="46"/>
        <item x="123"/>
        <item x="17"/>
        <item x="34"/>
        <item x="90"/>
        <item x="112"/>
        <item x="78"/>
        <item x="116"/>
        <item x="92"/>
        <item x="118"/>
        <item x="6"/>
        <item x="77"/>
        <item x="107"/>
        <item x="84"/>
        <item x="33"/>
        <item x="99"/>
        <item x="32"/>
        <item x="24"/>
        <item x="93"/>
        <item x="15"/>
        <item x="43"/>
        <item x="95"/>
        <item x="37"/>
        <item x="28"/>
        <item x="106"/>
        <item x="27"/>
        <item x="53"/>
        <item x="41"/>
        <item x="89"/>
        <item x="45"/>
        <item x="67"/>
        <item x="97"/>
        <item x="59"/>
        <item x="3"/>
        <item x="91"/>
        <item x="19"/>
        <item x="114"/>
        <item x="72"/>
        <item x="122"/>
        <item x="83"/>
        <item x="7"/>
        <item x="74"/>
        <item x="117"/>
        <item x="125"/>
        <item x="73"/>
        <item x="68"/>
        <item x="29"/>
        <item x="44"/>
        <item x="82"/>
        <item x="110"/>
        <item x="63"/>
        <item x="52"/>
        <item x="100"/>
        <item t="default"/>
      </items>
    </pivotField>
    <pivotField showAll="0"/>
    <pivotField showAll="0">
      <items count="8">
        <item x="2"/>
        <item x="3"/>
        <item x="4"/>
        <item x="5"/>
        <item x="1"/>
        <item x="0"/>
        <item m="1" x="6"/>
        <item t="default"/>
      </items>
    </pivotField>
    <pivotField showAll="0"/>
    <pivotField axis="axisRow" showAll="0">
      <items count="8">
        <item x="2"/>
        <item x="3"/>
        <item x="0"/>
        <item x="4"/>
        <item x="5"/>
        <item x="1"/>
        <item m="1" x="6"/>
        <item t="default"/>
      </items>
    </pivotField>
    <pivotField showAll="0"/>
    <pivotField numFmtId="165" showAll="0"/>
    <pivotField dataField="1" numFmtId="165"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Profit" fld="9" baseField="0" baseItem="0"/>
    <dataField name="Sum of Sales" fld="8" baseField="0" baseItem="0" numFmtId="165"/>
  </dataFields>
  <formats count="12">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0D48D-65EB-4BE7-81CD-3EC4E0EEF5F4}" name="Top 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Product">
  <location ref="Z3:AA19" firstHeaderRow="1" firstDataRow="1" firstDataCol="1"/>
  <pivotFields count="12">
    <pivotField showAll="0"/>
    <pivotField showAll="0">
      <items count="127">
        <item x="71"/>
        <item x="31"/>
        <item x="101"/>
        <item x="2"/>
        <item x="1"/>
        <item x="8"/>
        <item x="35"/>
        <item x="13"/>
        <item x="14"/>
        <item x="26"/>
        <item x="49"/>
        <item x="96"/>
        <item x="9"/>
        <item x="54"/>
        <item x="58"/>
        <item x="20"/>
        <item x="69"/>
        <item x="48"/>
        <item x="0"/>
        <item x="75"/>
        <item x="18"/>
        <item x="104"/>
        <item x="23"/>
        <item x="11"/>
        <item x="109"/>
        <item x="61"/>
        <item x="102"/>
        <item x="111"/>
        <item x="64"/>
        <item x="87"/>
        <item x="47"/>
        <item x="55"/>
        <item x="50"/>
        <item x="42"/>
        <item x="76"/>
        <item x="30"/>
        <item x="98"/>
        <item x="38"/>
        <item x="25"/>
        <item x="51"/>
        <item x="16"/>
        <item x="56"/>
        <item x="86"/>
        <item x="94"/>
        <item x="21"/>
        <item x="12"/>
        <item x="57"/>
        <item x="65"/>
        <item x="115"/>
        <item x="113"/>
        <item x="120"/>
        <item x="22"/>
        <item x="88"/>
        <item x="66"/>
        <item x="79"/>
        <item x="108"/>
        <item x="70"/>
        <item x="81"/>
        <item x="62"/>
        <item x="36"/>
        <item x="4"/>
        <item x="85"/>
        <item x="10"/>
        <item x="124"/>
        <item x="60"/>
        <item x="5"/>
        <item x="80"/>
        <item x="40"/>
        <item x="119"/>
        <item x="39"/>
        <item x="105"/>
        <item x="121"/>
        <item x="103"/>
        <item x="46"/>
        <item x="123"/>
        <item x="17"/>
        <item x="34"/>
        <item x="90"/>
        <item x="112"/>
        <item x="78"/>
        <item x="116"/>
        <item x="92"/>
        <item x="118"/>
        <item x="6"/>
        <item x="77"/>
        <item x="107"/>
        <item x="84"/>
        <item x="33"/>
        <item x="99"/>
        <item x="32"/>
        <item x="24"/>
        <item x="93"/>
        <item x="15"/>
        <item x="43"/>
        <item x="95"/>
        <item x="37"/>
        <item x="28"/>
        <item x="106"/>
        <item x="27"/>
        <item x="53"/>
        <item x="41"/>
        <item x="89"/>
        <item x="45"/>
        <item x="67"/>
        <item x="97"/>
        <item x="59"/>
        <item x="3"/>
        <item x="91"/>
        <item x="19"/>
        <item x="114"/>
        <item x="72"/>
        <item x="122"/>
        <item x="83"/>
        <item x="7"/>
        <item x="74"/>
        <item x="117"/>
        <item x="125"/>
        <item x="73"/>
        <item x="68"/>
        <item x="29"/>
        <item x="44"/>
        <item x="82"/>
        <item x="110"/>
        <item x="63"/>
        <item x="52"/>
        <item x="100"/>
        <item t="default"/>
      </items>
    </pivotField>
    <pivotField showAll="0"/>
    <pivotField showAll="0">
      <items count="8">
        <item x="2"/>
        <item x="3"/>
        <item x="4"/>
        <item x="5"/>
        <item x="1"/>
        <item x="0"/>
        <item m="1" x="6"/>
        <item t="default"/>
      </items>
    </pivotField>
    <pivotField axis="axisRow" showAll="0">
      <items count="16">
        <item x="7"/>
        <item x="11"/>
        <item x="13"/>
        <item x="6"/>
        <item x="14"/>
        <item x="1"/>
        <item x="4"/>
        <item x="8"/>
        <item x="10"/>
        <item x="2"/>
        <item x="5"/>
        <item x="12"/>
        <item x="0"/>
        <item x="3"/>
        <item x="9"/>
        <item t="default"/>
      </items>
    </pivotField>
    <pivotField showAll="0">
      <items count="8">
        <item x="2"/>
        <item x="3"/>
        <item x="0"/>
        <item x="4"/>
        <item x="5"/>
        <item x="1"/>
        <item m="1" x="6"/>
        <item t="default"/>
      </items>
    </pivotField>
    <pivotField showAll="0"/>
    <pivotField numFmtId="165" showAll="0"/>
    <pivotField dataField="1"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Sales" fld="8" showDataAs="percentOfTotal" baseField="0" baseItem="0" numFmtId="10"/>
  </dataFields>
  <formats count="12">
    <format dxfId="23">
      <pivotArea type="all" dataOnly="0" outline="0" fieldPosition="0"/>
    </format>
    <format dxfId="22">
      <pivotArea outline="0" collapsedLevelsAreSubtotals="1"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4" type="button" dataOnly="0" labelOnly="1" outline="0" axis="axisRow" fieldPosition="0"/>
    </format>
    <format dxfId="14">
      <pivotArea dataOnly="0" labelOnly="1" fieldPosition="0">
        <references count="1">
          <reference field="4"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C5FFE8-DC5A-437C-A1E0-81B896F96ED2}" name="Profit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Category">
  <location ref="O3:P10" firstHeaderRow="1" firstDataRow="1" firstDataCol="1"/>
  <pivotFields count="12">
    <pivotField showAll="0"/>
    <pivotField showAll="0">
      <items count="127">
        <item x="71"/>
        <item x="31"/>
        <item x="101"/>
        <item x="2"/>
        <item x="1"/>
        <item x="8"/>
        <item x="35"/>
        <item x="13"/>
        <item x="14"/>
        <item x="26"/>
        <item x="49"/>
        <item x="96"/>
        <item x="9"/>
        <item x="54"/>
        <item x="58"/>
        <item x="20"/>
        <item x="69"/>
        <item x="48"/>
        <item x="0"/>
        <item x="75"/>
        <item x="18"/>
        <item x="104"/>
        <item x="23"/>
        <item x="11"/>
        <item x="109"/>
        <item x="61"/>
        <item x="102"/>
        <item x="111"/>
        <item x="64"/>
        <item x="87"/>
        <item x="47"/>
        <item x="55"/>
        <item x="50"/>
        <item x="42"/>
        <item x="76"/>
        <item x="30"/>
        <item x="98"/>
        <item x="38"/>
        <item x="25"/>
        <item x="51"/>
        <item x="16"/>
        <item x="56"/>
        <item x="86"/>
        <item x="94"/>
        <item x="21"/>
        <item x="12"/>
        <item x="57"/>
        <item x="65"/>
        <item x="115"/>
        <item x="113"/>
        <item x="120"/>
        <item x="22"/>
        <item x="88"/>
        <item x="66"/>
        <item x="79"/>
        <item x="108"/>
        <item x="70"/>
        <item x="81"/>
        <item x="62"/>
        <item x="36"/>
        <item x="4"/>
        <item x="85"/>
        <item x="10"/>
        <item x="124"/>
        <item x="60"/>
        <item x="5"/>
        <item x="80"/>
        <item x="40"/>
        <item x="119"/>
        <item x="39"/>
        <item x="105"/>
        <item x="121"/>
        <item x="103"/>
        <item x="46"/>
        <item x="123"/>
        <item x="17"/>
        <item x="34"/>
        <item x="90"/>
        <item x="112"/>
        <item x="78"/>
        <item x="116"/>
        <item x="92"/>
        <item x="118"/>
        <item x="6"/>
        <item x="77"/>
        <item x="107"/>
        <item x="84"/>
        <item x="33"/>
        <item x="99"/>
        <item x="32"/>
        <item x="24"/>
        <item x="93"/>
        <item x="15"/>
        <item x="43"/>
        <item x="95"/>
        <item x="37"/>
        <item x="28"/>
        <item x="106"/>
        <item x="27"/>
        <item x="53"/>
        <item x="41"/>
        <item x="89"/>
        <item x="45"/>
        <item x="67"/>
        <item x="97"/>
        <item x="59"/>
        <item x="3"/>
        <item x="91"/>
        <item x="19"/>
        <item x="114"/>
        <item x="72"/>
        <item x="122"/>
        <item x="83"/>
        <item x="7"/>
        <item x="74"/>
        <item x="117"/>
        <item x="125"/>
        <item x="73"/>
        <item x="68"/>
        <item x="29"/>
        <item x="44"/>
        <item x="82"/>
        <item x="110"/>
        <item x="63"/>
        <item x="52"/>
        <item x="100"/>
        <item t="default"/>
      </items>
    </pivotField>
    <pivotField showAll="0"/>
    <pivotField showAll="0">
      <items count="8">
        <item x="2"/>
        <item x="3"/>
        <item x="4"/>
        <item x="5"/>
        <item x="1"/>
        <item x="0"/>
        <item m="1" x="6"/>
        <item t="default"/>
      </items>
    </pivotField>
    <pivotField showAll="0"/>
    <pivotField axis="axisRow" showAll="0">
      <items count="8">
        <item x="2"/>
        <item x="3"/>
        <item x="0"/>
        <item x="4"/>
        <item x="5"/>
        <item x="1"/>
        <item m="1" x="6"/>
        <item t="default"/>
      </items>
    </pivotField>
    <pivotField showAll="0"/>
    <pivotField numFmtId="165" showAll="0"/>
    <pivotField numFmtId="165"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Profit" fld="9" showDataAs="percentOfTotal" baseField="0" baseItem="0" numFmtId="10"/>
  </dataFields>
  <formats count="12">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fieldPosition="0">
        <references count="1">
          <reference field="5" count="0"/>
        </references>
      </pivotArea>
    </format>
    <format dxfId="25">
      <pivotArea dataOnly="0" labelOnly="1" grandRow="1" outline="0" fieldPosition="0"/>
    </format>
    <format dxfId="24">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5"/>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5" count="1" selected="0">
            <x v="0"/>
          </reference>
        </references>
      </pivotArea>
    </chartFormat>
    <chartFormat chart="13" format="16">
      <pivotArea type="data" outline="0" fieldPosition="0">
        <references count="2">
          <reference field="4294967294" count="1" selected="0">
            <x v="0"/>
          </reference>
          <reference field="5" count="1" selected="0">
            <x v="1"/>
          </reference>
        </references>
      </pivotArea>
    </chartFormat>
    <chartFormat chart="13" format="17">
      <pivotArea type="data" outline="0" fieldPosition="0">
        <references count="2">
          <reference field="4294967294" count="1" selected="0">
            <x v="0"/>
          </reference>
          <reference field="5" count="1" selected="0">
            <x v="2"/>
          </reference>
        </references>
      </pivotArea>
    </chartFormat>
    <chartFormat chart="13" format="18">
      <pivotArea type="data" outline="0" fieldPosition="0">
        <references count="2">
          <reference field="4294967294" count="1" selected="0">
            <x v="0"/>
          </reference>
          <reference field="5" count="1" selected="0">
            <x v="3"/>
          </reference>
        </references>
      </pivotArea>
    </chartFormat>
    <chartFormat chart="13" format="19">
      <pivotArea type="data" outline="0" fieldPosition="0">
        <references count="2">
          <reference field="4294967294" count="1" selected="0">
            <x v="0"/>
          </reference>
          <reference field="5" count="1" selected="0">
            <x v="4"/>
          </reference>
        </references>
      </pivotArea>
    </chartFormat>
    <chartFormat chart="13"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6B31E0-C932-4628-96B6-4BBFF661B0A4}" name="Sales by 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Months">
  <location ref="C3:D11" firstHeaderRow="1" firstDataRow="1" firstDataCol="1"/>
  <pivotFields count="12">
    <pivotField showAll="0"/>
    <pivotField showAll="0">
      <items count="127">
        <item x="71"/>
        <item x="31"/>
        <item x="101"/>
        <item x="2"/>
        <item x="1"/>
        <item x="8"/>
        <item x="35"/>
        <item x="13"/>
        <item x="14"/>
        <item x="26"/>
        <item x="49"/>
        <item x="96"/>
        <item x="9"/>
        <item x="54"/>
        <item x="58"/>
        <item x="20"/>
        <item x="69"/>
        <item x="48"/>
        <item x="0"/>
        <item x="75"/>
        <item x="18"/>
        <item x="104"/>
        <item x="23"/>
        <item x="11"/>
        <item x="109"/>
        <item x="61"/>
        <item x="102"/>
        <item x="111"/>
        <item x="64"/>
        <item x="87"/>
        <item x="47"/>
        <item x="55"/>
        <item x="50"/>
        <item x="42"/>
        <item x="76"/>
        <item x="30"/>
        <item x="98"/>
        <item x="38"/>
        <item x="25"/>
        <item x="51"/>
        <item x="16"/>
        <item x="56"/>
        <item x="86"/>
        <item x="94"/>
        <item x="21"/>
        <item x="12"/>
        <item x="57"/>
        <item x="65"/>
        <item x="115"/>
        <item x="113"/>
        <item x="120"/>
        <item x="22"/>
        <item x="88"/>
        <item x="66"/>
        <item x="79"/>
        <item x="108"/>
        <item x="70"/>
        <item x="81"/>
        <item x="62"/>
        <item x="36"/>
        <item x="4"/>
        <item x="85"/>
        <item x="10"/>
        <item x="124"/>
        <item x="60"/>
        <item x="5"/>
        <item x="80"/>
        <item x="40"/>
        <item x="119"/>
        <item x="39"/>
        <item x="105"/>
        <item x="121"/>
        <item x="103"/>
        <item x="46"/>
        <item x="123"/>
        <item x="17"/>
        <item x="34"/>
        <item x="90"/>
        <item x="112"/>
        <item x="78"/>
        <item x="116"/>
        <item x="92"/>
        <item x="118"/>
        <item x="6"/>
        <item x="77"/>
        <item x="107"/>
        <item x="84"/>
        <item x="33"/>
        <item x="99"/>
        <item x="32"/>
        <item x="24"/>
        <item x="93"/>
        <item x="15"/>
        <item x="43"/>
        <item x="95"/>
        <item x="37"/>
        <item x="28"/>
        <item x="106"/>
        <item x="27"/>
        <item x="53"/>
        <item x="41"/>
        <item x="89"/>
        <item x="45"/>
        <item x="67"/>
        <item x="97"/>
        <item x="59"/>
        <item x="3"/>
        <item x="91"/>
        <item x="19"/>
        <item x="114"/>
        <item x="72"/>
        <item x="122"/>
        <item x="83"/>
        <item x="7"/>
        <item x="74"/>
        <item x="117"/>
        <item x="125"/>
        <item x="73"/>
        <item x="68"/>
        <item x="29"/>
        <item x="44"/>
        <item x="82"/>
        <item x="110"/>
        <item x="63"/>
        <item x="52"/>
        <item x="100"/>
        <item t="default"/>
      </items>
    </pivotField>
    <pivotField showAll="0"/>
    <pivotField showAll="0">
      <items count="8">
        <item x="2"/>
        <item x="3"/>
        <item x="4"/>
        <item x="5"/>
        <item x="1"/>
        <item x="0"/>
        <item m="1" x="6"/>
        <item t="default"/>
      </items>
    </pivotField>
    <pivotField showAll="0"/>
    <pivotField showAll="0">
      <items count="8">
        <item x="2"/>
        <item x="3"/>
        <item x="0"/>
        <item x="4"/>
        <item x="5"/>
        <item x="1"/>
        <item m="1" x="6"/>
        <item t="default"/>
      </items>
    </pivotField>
    <pivotField showAll="0"/>
    <pivotField numFmtId="165" showAll="0"/>
    <pivotField dataField="1" numFmtId="165"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8">
    <i>
      <x v="1"/>
    </i>
    <i>
      <x v="2"/>
    </i>
    <i>
      <x v="3"/>
    </i>
    <i>
      <x v="4"/>
    </i>
    <i>
      <x v="5"/>
    </i>
    <i>
      <x v="6"/>
    </i>
    <i>
      <x v="7"/>
    </i>
    <i t="grand">
      <x/>
    </i>
  </rowItems>
  <colItems count="1">
    <i/>
  </colItems>
  <dataFields count="1">
    <dataField name="Sum of Sales" fld="8" showDataAs="percentOfTotal" baseField="0" baseItem="0" numFmtId="10"/>
  </dataFields>
  <formats count="12">
    <format dxfId="47">
      <pivotArea type="all" dataOnly="0" outline="0" fieldPosition="0"/>
    </format>
    <format dxfId="46">
      <pivotArea outline="0" collapsedLevelsAreSubtotals="1" fieldPosition="0"/>
    </format>
    <format dxfId="45">
      <pivotArea field="11" type="button" dataOnly="0" labelOnly="1" outline="0" axis="axisRow" fieldPosition="0"/>
    </format>
    <format dxfId="44">
      <pivotArea dataOnly="0" labelOnly="1" fieldPosition="0">
        <references count="1">
          <reference field="11" count="7">
            <x v="1"/>
            <x v="2"/>
            <x v="3"/>
            <x v="4"/>
            <x v="5"/>
            <x v="6"/>
            <x v="7"/>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1" type="button" dataOnly="0" labelOnly="1" outline="0" axis="axisRow" fieldPosition="0"/>
    </format>
    <format dxfId="38">
      <pivotArea dataOnly="0" labelOnly="1" fieldPosition="0">
        <references count="1">
          <reference field="11" count="7">
            <x v="1"/>
            <x v="2"/>
            <x v="3"/>
            <x v="4"/>
            <x v="5"/>
            <x v="6"/>
            <x v="7"/>
          </reference>
        </references>
      </pivotArea>
    </format>
    <format dxfId="37">
      <pivotArea dataOnly="0" labelOnly="1" grandRow="1" outline="0" fieldPosition="0"/>
    </format>
    <format dxfId="3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8F9041-913B-480A-9B6F-A6306F2C8783}" name="Sales by C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ity">
  <location ref="K3:L10" firstHeaderRow="1" firstDataRow="1" firstDataCol="1"/>
  <pivotFields count="12">
    <pivotField showAll="0"/>
    <pivotField showAll="0">
      <items count="127">
        <item x="71"/>
        <item x="31"/>
        <item x="101"/>
        <item x="2"/>
        <item x="1"/>
        <item x="8"/>
        <item x="35"/>
        <item x="13"/>
        <item x="14"/>
        <item x="26"/>
        <item x="49"/>
        <item x="96"/>
        <item x="9"/>
        <item x="54"/>
        <item x="58"/>
        <item x="20"/>
        <item x="69"/>
        <item x="48"/>
        <item x="0"/>
        <item x="75"/>
        <item x="18"/>
        <item x="104"/>
        <item x="23"/>
        <item x="11"/>
        <item x="109"/>
        <item x="61"/>
        <item x="102"/>
        <item x="111"/>
        <item x="64"/>
        <item x="87"/>
        <item x="47"/>
        <item x="55"/>
        <item x="50"/>
        <item x="42"/>
        <item x="76"/>
        <item x="30"/>
        <item x="98"/>
        <item x="38"/>
        <item x="25"/>
        <item x="51"/>
        <item x="16"/>
        <item x="56"/>
        <item x="86"/>
        <item x="94"/>
        <item x="21"/>
        <item x="12"/>
        <item x="57"/>
        <item x="65"/>
        <item x="115"/>
        <item x="113"/>
        <item x="120"/>
        <item x="22"/>
        <item x="88"/>
        <item x="66"/>
        <item x="79"/>
        <item x="108"/>
        <item x="70"/>
        <item x="81"/>
        <item x="62"/>
        <item x="36"/>
        <item x="4"/>
        <item x="85"/>
        <item x="10"/>
        <item x="124"/>
        <item x="60"/>
        <item x="5"/>
        <item x="80"/>
        <item x="40"/>
        <item x="119"/>
        <item x="39"/>
        <item x="105"/>
        <item x="121"/>
        <item x="103"/>
        <item x="46"/>
        <item x="123"/>
        <item x="17"/>
        <item x="34"/>
        <item x="90"/>
        <item x="112"/>
        <item x="78"/>
        <item x="116"/>
        <item x="92"/>
        <item x="118"/>
        <item x="6"/>
        <item x="77"/>
        <item x="107"/>
        <item x="84"/>
        <item x="33"/>
        <item x="99"/>
        <item x="32"/>
        <item x="24"/>
        <item x="93"/>
        <item x="15"/>
        <item x="43"/>
        <item x="95"/>
        <item x="37"/>
        <item x="28"/>
        <item x="106"/>
        <item x="27"/>
        <item x="53"/>
        <item x="41"/>
        <item x="89"/>
        <item x="45"/>
        <item x="67"/>
        <item x="97"/>
        <item x="59"/>
        <item x="3"/>
        <item x="91"/>
        <item x="19"/>
        <item x="114"/>
        <item x="72"/>
        <item x="122"/>
        <item x="83"/>
        <item x="7"/>
        <item x="74"/>
        <item x="117"/>
        <item x="125"/>
        <item x="73"/>
        <item x="68"/>
        <item x="29"/>
        <item x="44"/>
        <item x="82"/>
        <item x="110"/>
        <item x="63"/>
        <item x="52"/>
        <item x="100"/>
        <item t="default"/>
      </items>
    </pivotField>
    <pivotField showAll="0"/>
    <pivotField axis="axisRow" showAll="0">
      <items count="8">
        <item x="2"/>
        <item x="3"/>
        <item x="4"/>
        <item x="5"/>
        <item x="1"/>
        <item x="0"/>
        <item m="1" x="6"/>
        <item t="default"/>
      </items>
    </pivotField>
    <pivotField showAll="0"/>
    <pivotField showAll="0">
      <items count="8">
        <item x="2"/>
        <item x="3"/>
        <item x="0"/>
        <item x="4"/>
        <item x="5"/>
        <item x="1"/>
        <item m="1" x="6"/>
        <item t="default"/>
      </items>
    </pivotField>
    <pivotField showAll="0"/>
    <pivotField numFmtId="165" showAll="0"/>
    <pivotField dataField="1"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Sales" fld="8" showDataAs="percentOfTotal" baseField="0" baseItem="0" numFmtId="10"/>
  </dataFields>
  <formats count="12">
    <format dxfId="59">
      <pivotArea type="all" dataOnly="0" outline="0" fieldPosition="0"/>
    </format>
    <format dxfId="58">
      <pivotArea outline="0" collapsedLevelsAreSubtotals="1" fieldPosition="0"/>
    </format>
    <format dxfId="57">
      <pivotArea field="3" type="button" dataOnly="0" labelOnly="1" outline="0" axis="axisRow" fieldPosition="0"/>
    </format>
    <format dxfId="56">
      <pivotArea dataOnly="0" labelOnly="1" fieldPosition="0">
        <references count="1">
          <reference field="3"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5"/>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A75932-BA00-461C-BFD4-C8C9AE4D5109}" name="Sales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Category">
  <location ref="G3:H10" firstHeaderRow="1" firstDataRow="1" firstDataCol="1"/>
  <pivotFields count="12">
    <pivotField showAll="0"/>
    <pivotField showAll="0">
      <items count="127">
        <item x="71"/>
        <item x="31"/>
        <item x="101"/>
        <item x="2"/>
        <item x="1"/>
        <item x="8"/>
        <item x="35"/>
        <item x="13"/>
        <item x="14"/>
        <item x="26"/>
        <item x="49"/>
        <item x="96"/>
        <item x="9"/>
        <item x="54"/>
        <item x="58"/>
        <item x="20"/>
        <item x="69"/>
        <item x="48"/>
        <item x="0"/>
        <item x="75"/>
        <item x="18"/>
        <item x="104"/>
        <item x="23"/>
        <item x="11"/>
        <item x="109"/>
        <item x="61"/>
        <item x="102"/>
        <item x="111"/>
        <item x="64"/>
        <item x="87"/>
        <item x="47"/>
        <item x="55"/>
        <item x="50"/>
        <item x="42"/>
        <item x="76"/>
        <item x="30"/>
        <item x="98"/>
        <item x="38"/>
        <item x="25"/>
        <item x="51"/>
        <item x="16"/>
        <item x="56"/>
        <item x="86"/>
        <item x="94"/>
        <item x="21"/>
        <item x="12"/>
        <item x="57"/>
        <item x="65"/>
        <item x="115"/>
        <item x="113"/>
        <item x="120"/>
        <item x="22"/>
        <item x="88"/>
        <item x="66"/>
        <item x="79"/>
        <item x="108"/>
        <item x="70"/>
        <item x="81"/>
        <item x="62"/>
        <item x="36"/>
        <item x="4"/>
        <item x="85"/>
        <item x="10"/>
        <item x="124"/>
        <item x="60"/>
        <item x="5"/>
        <item x="80"/>
        <item x="40"/>
        <item x="119"/>
        <item x="39"/>
        <item x="105"/>
        <item x="121"/>
        <item x="103"/>
        <item x="46"/>
        <item x="123"/>
        <item x="17"/>
        <item x="34"/>
        <item x="90"/>
        <item x="112"/>
        <item x="78"/>
        <item x="116"/>
        <item x="92"/>
        <item x="118"/>
        <item x="6"/>
        <item x="77"/>
        <item x="107"/>
        <item x="84"/>
        <item x="33"/>
        <item x="99"/>
        <item x="32"/>
        <item x="24"/>
        <item x="93"/>
        <item x="15"/>
        <item x="43"/>
        <item x="95"/>
        <item x="37"/>
        <item x="28"/>
        <item x="106"/>
        <item x="27"/>
        <item x="53"/>
        <item x="41"/>
        <item x="89"/>
        <item x="45"/>
        <item x="67"/>
        <item x="97"/>
        <item x="59"/>
        <item x="3"/>
        <item x="91"/>
        <item x="19"/>
        <item x="114"/>
        <item x="72"/>
        <item x="122"/>
        <item x="83"/>
        <item x="7"/>
        <item x="74"/>
        <item x="117"/>
        <item x="125"/>
        <item x="73"/>
        <item x="68"/>
        <item x="29"/>
        <item x="44"/>
        <item x="82"/>
        <item x="110"/>
        <item x="63"/>
        <item x="52"/>
        <item x="100"/>
        <item t="default"/>
      </items>
    </pivotField>
    <pivotField showAll="0"/>
    <pivotField showAll="0">
      <items count="8">
        <item x="2"/>
        <item x="3"/>
        <item x="4"/>
        <item x="5"/>
        <item x="1"/>
        <item x="0"/>
        <item m="1" x="6"/>
        <item t="default"/>
      </items>
    </pivotField>
    <pivotField showAll="0"/>
    <pivotField axis="axisRow" showAll="0">
      <items count="8">
        <item x="2"/>
        <item x="3"/>
        <item x="0"/>
        <item x="4"/>
        <item x="5"/>
        <item x="1"/>
        <item m="1" x="6"/>
        <item t="default"/>
      </items>
    </pivotField>
    <pivotField showAll="0"/>
    <pivotField numFmtId="165" showAll="0"/>
    <pivotField dataField="1" numFmtId="165"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Sales" fld="8" showDataAs="percentOfTotal" baseField="0" baseItem="0" numFmtId="10"/>
  </dataFields>
  <formats count="12">
    <format dxfId="71">
      <pivotArea type="all" dataOnly="0" outline="0" fieldPosition="0"/>
    </format>
    <format dxfId="70">
      <pivotArea outline="0" collapsedLevelsAreSubtotals="1" fieldPosition="0"/>
    </format>
    <format dxfId="69">
      <pivotArea field="5" type="button" dataOnly="0" labelOnly="1" outline="0" axis="axisRow" fieldPosition="0"/>
    </format>
    <format dxfId="68">
      <pivotArea dataOnly="0" labelOnly="1" fieldPosition="0">
        <references count="1">
          <reference field="5"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fieldPosition="0">
        <references count="1">
          <reference field="5" count="0"/>
        </references>
      </pivotArea>
    </format>
    <format dxfId="61">
      <pivotArea dataOnly="0" labelOnly="1" grandRow="1" outline="0" fieldPosition="0"/>
    </format>
    <format dxfId="6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7" format="35" series="1">
      <pivotArea type="data" outline="0" fieldPosition="0">
        <references count="1">
          <reference field="4294967294" count="1" selected="0">
            <x v="0"/>
          </reference>
        </references>
      </pivotArea>
    </chartFormat>
    <chartFormat chart="7" format="36">
      <pivotArea type="data" outline="0" fieldPosition="0">
        <references count="2">
          <reference field="4294967294" count="1" selected="0">
            <x v="0"/>
          </reference>
          <reference field="5" count="1" selected="0">
            <x v="0"/>
          </reference>
        </references>
      </pivotArea>
    </chartFormat>
    <chartFormat chart="7" format="37">
      <pivotArea type="data" outline="0" fieldPosition="0">
        <references count="2">
          <reference field="4294967294" count="1" selected="0">
            <x v="0"/>
          </reference>
          <reference field="5" count="1" selected="0">
            <x v="1"/>
          </reference>
        </references>
      </pivotArea>
    </chartFormat>
    <chartFormat chart="7" format="38">
      <pivotArea type="data" outline="0" fieldPosition="0">
        <references count="2">
          <reference field="4294967294" count="1" selected="0">
            <x v="0"/>
          </reference>
          <reference field="5" count="1" selected="0">
            <x v="2"/>
          </reference>
        </references>
      </pivotArea>
    </chartFormat>
    <chartFormat chart="7" format="39">
      <pivotArea type="data" outline="0" fieldPosition="0">
        <references count="2">
          <reference field="4294967294" count="1" selected="0">
            <x v="0"/>
          </reference>
          <reference field="5" count="1" selected="0">
            <x v="3"/>
          </reference>
        </references>
      </pivotArea>
    </chartFormat>
    <chartFormat chart="7" format="40">
      <pivotArea type="data" outline="0" fieldPosition="0">
        <references count="2">
          <reference field="4294967294" count="1" selected="0">
            <x v="0"/>
          </reference>
          <reference field="5" count="1" selected="0">
            <x v="4"/>
          </reference>
        </references>
      </pivotArea>
    </chartFormat>
    <chartFormat chart="7" format="4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BF5857E-B08D-42B0-9E60-DED1BADB7BF4}" sourceName="City">
  <pivotTables>
    <pivotTable tabId="3" name="Sales by Month"/>
    <pivotTable tabId="3" name="Profit by Category"/>
    <pivotTable tabId="3" name="Sales and Profit"/>
    <pivotTable tabId="3" name="Sales by category"/>
    <pivotTable tabId="3" name="Sales by City"/>
    <pivotTable tabId="3" name="Top Products"/>
  </pivotTables>
  <data>
    <tabular pivotCacheId="524428783">
      <items count="7">
        <i x="2" s="1"/>
        <i x="3" s="1"/>
        <i x="4" s="1"/>
        <i x="5" s="1"/>
        <i x="1" s="1"/>
        <i x="0"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289B47-93C6-4910-91A4-5D405D9B30DF}" sourceName="Category">
  <pivotTables>
    <pivotTable tabId="3" name="Sales by Month"/>
    <pivotTable tabId="3" name="Profit by Category"/>
    <pivotTable tabId="3" name="Sales and Profit"/>
    <pivotTable tabId="3" name="Sales by category"/>
    <pivotTable tabId="3" name="Sales by City"/>
    <pivotTable tabId="3" name="Top Products"/>
  </pivotTables>
  <data>
    <tabular pivotCacheId="524428783">
      <items count="7">
        <i x="2" s="1"/>
        <i x="3" s="1"/>
        <i x="0" s="1"/>
        <i x="4" s="1"/>
        <i x="5" s="1"/>
        <i x="1"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783277A-8D3F-4C0E-BF06-7C2CB55AF44D}" cache="Slicer_City" caption="City" style="SlicerStyleDark1" rowHeight="234950"/>
  <slicer name="Category" xr10:uid="{C6E2F3FA-CEE3-4E3D-9BF3-44615BCB1753}" cache="Slicer_Category" caption="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6F1D16-63B7-475D-AB89-E5845546C750}" name="Table1" displayName="Table1" ref="B2:K202" totalsRowShown="0" headerRowDxfId="85" dataDxfId="83" headerRowBorderDxfId="84" tableBorderDxfId="82">
  <autoFilter ref="B2:K202" xr:uid="{E86F1D16-63B7-475D-AB89-E5845546C7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4B651FE-A6C5-46A0-A921-141A710C6F9D}" name="Order ID" dataDxfId="81"/>
    <tableColumn id="2" xr3:uid="{EE3E3ADD-A8AE-4912-B5EB-8E4158D4C412}" name="Date" dataDxfId="80"/>
    <tableColumn id="3" xr3:uid="{E4FBF5A7-3C4A-46AC-B45E-0CDB856973B0}" name="Customer" dataDxfId="79"/>
    <tableColumn id="4" xr3:uid="{689F446E-52A5-48CD-BAAF-0A90A49930E8}" name="City" dataDxfId="78"/>
    <tableColumn id="5" xr3:uid="{A12323ED-B0A0-4771-A95B-6C8D2615C030}" name="Product" dataDxfId="77"/>
    <tableColumn id="6" xr3:uid="{E64F1874-5EE5-474D-83AE-3A38C6734C1E}" name="Category" dataDxfId="76"/>
    <tableColumn id="7" xr3:uid="{390C9B78-BE15-4C64-A5D5-98C54E81B2AD}" name="Quantity" dataDxfId="75"/>
    <tableColumn id="8" xr3:uid="{BD02CC52-6B73-4D53-86FA-2E08D108EB72}" name="Price" dataDxfId="74"/>
    <tableColumn id="9" xr3:uid="{2E3EE5A4-0E27-41F7-AFBE-19DAB57DA02B}" name="Sales" dataDxfId="73"/>
    <tableColumn id="10" xr3:uid="{E3253924-7082-4969-AEA0-C00F02E39202}" name="Profit" dataDxfId="72">
      <calculatedColumnFormula>Table1[[#This Row],[Sales]]*14%</calculatedColumnFormula>
    </tableColumn>
  </tableColumns>
  <tableStyleInfo name="TableStyleLight13"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37441D8-4F7F-43D6-BFB4-2362B8CBFAE8}" sourceName="Date">
  <pivotTables>
    <pivotTable tabId="3" name="Sales by Month"/>
    <pivotTable tabId="3" name="Profit by Category"/>
    <pivotTable tabId="3" name="Sales and Profit"/>
    <pivotTable tabId="3" name="Sales by category"/>
    <pivotTable tabId="3" name="Sales by City"/>
    <pivotTable tabId="3" name="Top Products"/>
  </pivotTables>
  <state minimalRefreshVersion="6" lastRefreshVersion="6" pivotCacheId="52442878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C2AA7F6-813F-465F-80C3-BBD9A29ADC32}" cache="NativeTimeline_Date" caption="Date" showHorizontalScrollbar="0" level="2" selectionLevel="2" scrollPosition="2026-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2"/>
  <sheetViews>
    <sheetView tabSelected="1" zoomScale="63" workbookViewId="0">
      <pane ySplit="2" topLeftCell="A67" activePane="bottomLeft" state="frozen"/>
      <selection pane="bottomLeft" activeCell="N93" sqref="N93"/>
    </sheetView>
  </sheetViews>
  <sheetFormatPr defaultRowHeight="14.4" x14ac:dyDescent="0.3"/>
  <cols>
    <col min="1" max="1" width="5.33203125" customWidth="1"/>
    <col min="2" max="2" width="12" customWidth="1"/>
    <col min="3" max="3" width="13" customWidth="1"/>
    <col min="4" max="4" width="22" customWidth="1"/>
    <col min="5" max="5" width="14" customWidth="1"/>
    <col min="6" max="6" width="18" customWidth="1"/>
    <col min="7" max="7" width="20" customWidth="1"/>
    <col min="8" max="8" width="10.21875" customWidth="1"/>
    <col min="9" max="9" width="14" customWidth="1"/>
    <col min="10" max="11" width="15" customWidth="1"/>
    <col min="13" max="13" width="10.88671875" bestFit="1" customWidth="1"/>
  </cols>
  <sheetData>
    <row r="2" spans="2:11" ht="15" thickBot="1" x14ac:dyDescent="0.35">
      <c r="B2" s="13" t="s">
        <v>0</v>
      </c>
      <c r="C2" s="13" t="s">
        <v>1</v>
      </c>
      <c r="D2" s="13" t="s">
        <v>2</v>
      </c>
      <c r="E2" s="13" t="s">
        <v>3</v>
      </c>
      <c r="F2" s="13" t="s">
        <v>4</v>
      </c>
      <c r="G2" s="13" t="s">
        <v>5</v>
      </c>
      <c r="H2" s="13" t="s">
        <v>6</v>
      </c>
      <c r="I2" s="13" t="s">
        <v>7</v>
      </c>
      <c r="J2" s="13" t="s">
        <v>8</v>
      </c>
      <c r="K2" s="13" t="s">
        <v>9</v>
      </c>
    </row>
    <row r="3" spans="2:11" ht="15" thickBot="1" x14ac:dyDescent="0.35">
      <c r="B3" s="15" t="s">
        <v>10</v>
      </c>
      <c r="C3" s="10">
        <v>46058</v>
      </c>
      <c r="D3" s="11" t="s">
        <v>11</v>
      </c>
      <c r="E3" s="11" t="s">
        <v>12</v>
      </c>
      <c r="F3" s="11" t="s">
        <v>13</v>
      </c>
      <c r="G3" s="11" t="s">
        <v>14</v>
      </c>
      <c r="H3" s="11">
        <v>1</v>
      </c>
      <c r="I3" s="12">
        <v>28000</v>
      </c>
      <c r="J3" s="12">
        <f>Table1[[#This Row],[Quantity]]*Table1[[#This Row],[Price]]</f>
        <v>28000</v>
      </c>
      <c r="K3" s="18">
        <f>Table1[[#This Row],[Sales]]*14%</f>
        <v>3920.0000000000005</v>
      </c>
    </row>
    <row r="4" spans="2:11" ht="15" thickBot="1" x14ac:dyDescent="0.35">
      <c r="B4" s="16" t="s">
        <v>15</v>
      </c>
      <c r="C4" s="8">
        <v>46031</v>
      </c>
      <c r="D4" s="3" t="s">
        <v>16</v>
      </c>
      <c r="E4" s="3" t="s">
        <v>17</v>
      </c>
      <c r="F4" s="3" t="s">
        <v>13</v>
      </c>
      <c r="G4" s="3" t="s">
        <v>14</v>
      </c>
      <c r="H4" s="3">
        <v>5</v>
      </c>
      <c r="I4" s="5">
        <v>26600</v>
      </c>
      <c r="J4" s="5">
        <f>Table1[[#This Row],[Quantity]]*Table1[[#This Row],[Price]]</f>
        <v>133000</v>
      </c>
      <c r="K4" s="18">
        <f>Table1[[#This Row],[Sales]]*14%</f>
        <v>18620</v>
      </c>
    </row>
    <row r="5" spans="2:11" ht="15" thickBot="1" x14ac:dyDescent="0.35">
      <c r="B5" s="16" t="s">
        <v>18</v>
      </c>
      <c r="C5" s="8">
        <v>46029</v>
      </c>
      <c r="D5" s="3" t="s">
        <v>19</v>
      </c>
      <c r="E5" s="3" t="s">
        <v>12</v>
      </c>
      <c r="F5" s="3" t="s">
        <v>13</v>
      </c>
      <c r="G5" s="3" t="s">
        <v>14</v>
      </c>
      <c r="H5" s="3">
        <v>2</v>
      </c>
      <c r="I5" s="5">
        <v>28000</v>
      </c>
      <c r="J5" s="5">
        <f>Table1[[#This Row],[Quantity]]*Table1[[#This Row],[Price]]</f>
        <v>56000</v>
      </c>
      <c r="K5" s="18">
        <f>Table1[[#This Row],[Sales]]*14%</f>
        <v>7840.0000000000009</v>
      </c>
    </row>
    <row r="6" spans="2:11" ht="15" thickBot="1" x14ac:dyDescent="0.35">
      <c r="B6" s="16" t="s">
        <v>20</v>
      </c>
      <c r="C6" s="8">
        <v>46173</v>
      </c>
      <c r="D6" s="3" t="s">
        <v>21</v>
      </c>
      <c r="E6" s="3" t="s">
        <v>17</v>
      </c>
      <c r="F6" s="3" t="s">
        <v>22</v>
      </c>
      <c r="G6" s="3" t="s">
        <v>14</v>
      </c>
      <c r="H6" s="3">
        <v>5</v>
      </c>
      <c r="I6" s="5">
        <v>15750</v>
      </c>
      <c r="J6" s="5">
        <f>Table1[[#This Row],[Quantity]]*Table1[[#This Row],[Price]]</f>
        <v>78750</v>
      </c>
      <c r="K6" s="18">
        <f>Table1[[#This Row],[Sales]]*14%</f>
        <v>11025.000000000002</v>
      </c>
    </row>
    <row r="7" spans="2:11" ht="15" thickBot="1" x14ac:dyDescent="0.35">
      <c r="B7" s="16" t="s">
        <v>23</v>
      </c>
      <c r="C7" s="8">
        <v>46110</v>
      </c>
      <c r="D7" s="3" t="s">
        <v>24</v>
      </c>
      <c r="E7" s="3" t="s">
        <v>12</v>
      </c>
      <c r="F7" s="3" t="s">
        <v>25</v>
      </c>
      <c r="G7" s="3" t="s">
        <v>26</v>
      </c>
      <c r="H7" s="3">
        <v>1</v>
      </c>
      <c r="I7" s="5">
        <v>350</v>
      </c>
      <c r="J7" s="5">
        <f>Table1[[#This Row],[Quantity]]*Table1[[#This Row],[Price]]</f>
        <v>350</v>
      </c>
      <c r="K7" s="18">
        <f>Table1[[#This Row],[Sales]]*14%</f>
        <v>49.000000000000007</v>
      </c>
    </row>
    <row r="8" spans="2:11" ht="15" thickBot="1" x14ac:dyDescent="0.35">
      <c r="B8" s="16" t="s">
        <v>27</v>
      </c>
      <c r="C8" s="8">
        <v>46120</v>
      </c>
      <c r="D8" s="3" t="s">
        <v>24</v>
      </c>
      <c r="E8" s="3" t="s">
        <v>12</v>
      </c>
      <c r="F8" s="3" t="s">
        <v>28</v>
      </c>
      <c r="G8" s="3" t="s">
        <v>14</v>
      </c>
      <c r="H8" s="3">
        <v>2</v>
      </c>
      <c r="I8" s="5">
        <v>22000</v>
      </c>
      <c r="J8" s="5">
        <f>Table1[[#This Row],[Quantity]]*Table1[[#This Row],[Price]]</f>
        <v>44000</v>
      </c>
      <c r="K8" s="18">
        <f>Table1[[#This Row],[Sales]]*14%</f>
        <v>6160.0000000000009</v>
      </c>
    </row>
    <row r="9" spans="2:11" ht="15" thickBot="1" x14ac:dyDescent="0.35">
      <c r="B9" s="16" t="s">
        <v>29</v>
      </c>
      <c r="C9" s="8">
        <v>46140</v>
      </c>
      <c r="D9" s="3" t="s">
        <v>30</v>
      </c>
      <c r="E9" s="3" t="s">
        <v>17</v>
      </c>
      <c r="F9" s="3" t="s">
        <v>31</v>
      </c>
      <c r="G9" s="3" t="s">
        <v>32</v>
      </c>
      <c r="H9" s="3">
        <v>3</v>
      </c>
      <c r="I9" s="5">
        <v>900</v>
      </c>
      <c r="J9" s="5">
        <f>Table1[[#This Row],[Quantity]]*Table1[[#This Row],[Price]]</f>
        <v>2700</v>
      </c>
      <c r="K9" s="18">
        <f>Table1[[#This Row],[Sales]]*14%</f>
        <v>378.00000000000006</v>
      </c>
    </row>
    <row r="10" spans="2:11" ht="15" thickBot="1" x14ac:dyDescent="0.35">
      <c r="B10" s="16" t="s">
        <v>33</v>
      </c>
      <c r="C10" s="8">
        <v>46183</v>
      </c>
      <c r="D10" s="3" t="s">
        <v>21</v>
      </c>
      <c r="E10" s="3" t="s">
        <v>17</v>
      </c>
      <c r="F10" s="3" t="s">
        <v>13</v>
      </c>
      <c r="G10" s="3" t="s">
        <v>14</v>
      </c>
      <c r="H10" s="3">
        <v>4</v>
      </c>
      <c r="I10" s="5">
        <v>26600</v>
      </c>
      <c r="J10" s="5">
        <f>Table1[[#This Row],[Quantity]]*Table1[[#This Row],[Price]]</f>
        <v>106400</v>
      </c>
      <c r="K10" s="18">
        <f>Table1[[#This Row],[Sales]]*14%</f>
        <v>14896.000000000002</v>
      </c>
    </row>
    <row r="11" spans="2:11" ht="15" thickBot="1" x14ac:dyDescent="0.35">
      <c r="B11" s="16" t="s">
        <v>34</v>
      </c>
      <c r="C11" s="8">
        <v>46034</v>
      </c>
      <c r="D11" s="3" t="s">
        <v>35</v>
      </c>
      <c r="E11" s="3" t="s">
        <v>36</v>
      </c>
      <c r="F11" s="3" t="s">
        <v>37</v>
      </c>
      <c r="G11" s="3" t="s">
        <v>14</v>
      </c>
      <c r="H11" s="3">
        <v>3</v>
      </c>
      <c r="I11" s="5">
        <v>2200</v>
      </c>
      <c r="J11" s="5">
        <f>Table1[[#This Row],[Quantity]]*Table1[[#This Row],[Price]]</f>
        <v>6600</v>
      </c>
      <c r="K11" s="18">
        <f>Table1[[#This Row],[Sales]]*14%</f>
        <v>924.00000000000011</v>
      </c>
    </row>
    <row r="12" spans="2:11" ht="15" thickBot="1" x14ac:dyDescent="0.35">
      <c r="B12" s="16" t="s">
        <v>38</v>
      </c>
      <c r="C12" s="8">
        <v>46048</v>
      </c>
      <c r="D12" s="3" t="s">
        <v>39</v>
      </c>
      <c r="E12" s="3" t="s">
        <v>40</v>
      </c>
      <c r="F12" s="3" t="s">
        <v>22</v>
      </c>
      <c r="G12" s="3" t="s">
        <v>14</v>
      </c>
      <c r="H12" s="3">
        <v>3</v>
      </c>
      <c r="I12" s="5">
        <v>14250</v>
      </c>
      <c r="J12" s="5">
        <f>Table1[[#This Row],[Quantity]]*Table1[[#This Row],[Price]]</f>
        <v>42750</v>
      </c>
      <c r="K12" s="18">
        <f>Table1[[#This Row],[Sales]]*14%</f>
        <v>5985.0000000000009</v>
      </c>
    </row>
    <row r="13" spans="2:11" ht="15" thickBot="1" x14ac:dyDescent="0.35">
      <c r="B13" s="16" t="s">
        <v>41</v>
      </c>
      <c r="C13" s="8">
        <v>46113</v>
      </c>
      <c r="D13" s="3" t="s">
        <v>42</v>
      </c>
      <c r="E13" s="3" t="s">
        <v>43</v>
      </c>
      <c r="F13" s="3" t="s">
        <v>44</v>
      </c>
      <c r="G13" s="3" t="s">
        <v>32</v>
      </c>
      <c r="H13" s="3">
        <v>4</v>
      </c>
      <c r="I13" s="5">
        <v>1800</v>
      </c>
      <c r="J13" s="5">
        <f>Table1[[#This Row],[Quantity]]*Table1[[#This Row],[Price]]</f>
        <v>7200</v>
      </c>
      <c r="K13" s="18">
        <f>Table1[[#This Row],[Sales]]*14%</f>
        <v>1008.0000000000001</v>
      </c>
    </row>
    <row r="14" spans="2:11" ht="15" thickBot="1" x14ac:dyDescent="0.35">
      <c r="B14" s="16" t="s">
        <v>45</v>
      </c>
      <c r="C14" s="8">
        <v>46066</v>
      </c>
      <c r="D14" s="3" t="s">
        <v>46</v>
      </c>
      <c r="E14" s="3" t="s">
        <v>36</v>
      </c>
      <c r="F14" s="3" t="s">
        <v>47</v>
      </c>
      <c r="G14" s="3" t="s">
        <v>48</v>
      </c>
      <c r="H14" s="3">
        <v>3</v>
      </c>
      <c r="I14" s="5">
        <v>1710</v>
      </c>
      <c r="J14" s="5">
        <f>Table1[[#This Row],[Quantity]]*Table1[[#This Row],[Price]]</f>
        <v>5130</v>
      </c>
      <c r="K14" s="18">
        <f>Table1[[#This Row],[Sales]]*14%</f>
        <v>718.2</v>
      </c>
    </row>
    <row r="15" spans="2:11" ht="15" thickBot="1" x14ac:dyDescent="0.35">
      <c r="B15" s="16" t="s">
        <v>49</v>
      </c>
      <c r="C15" s="8">
        <v>46092</v>
      </c>
      <c r="D15" s="3" t="s">
        <v>21</v>
      </c>
      <c r="E15" s="3" t="s">
        <v>17</v>
      </c>
      <c r="F15" s="3" t="s">
        <v>50</v>
      </c>
      <c r="G15" s="3" t="s">
        <v>26</v>
      </c>
      <c r="H15" s="3">
        <v>2</v>
      </c>
      <c r="I15" s="5">
        <v>250</v>
      </c>
      <c r="J15" s="5">
        <f>Table1[[#This Row],[Quantity]]*Table1[[#This Row],[Price]]</f>
        <v>500</v>
      </c>
      <c r="K15" s="18">
        <f>Table1[[#This Row],[Sales]]*14%</f>
        <v>70</v>
      </c>
    </row>
    <row r="16" spans="2:11" ht="15" thickBot="1" x14ac:dyDescent="0.35">
      <c r="B16" s="16" t="s">
        <v>51</v>
      </c>
      <c r="C16" s="8">
        <v>46037</v>
      </c>
      <c r="D16" s="3" t="s">
        <v>52</v>
      </c>
      <c r="E16" s="3" t="s">
        <v>12</v>
      </c>
      <c r="F16" s="3" t="s">
        <v>47</v>
      </c>
      <c r="G16" s="3" t="s">
        <v>48</v>
      </c>
      <c r="H16" s="3">
        <v>5</v>
      </c>
      <c r="I16" s="5">
        <v>1800</v>
      </c>
      <c r="J16" s="5">
        <f>Table1[[#This Row],[Quantity]]*Table1[[#This Row],[Price]]</f>
        <v>9000</v>
      </c>
      <c r="K16" s="18">
        <f>Table1[[#This Row],[Sales]]*14%</f>
        <v>1260.0000000000002</v>
      </c>
    </row>
    <row r="17" spans="2:11" ht="15" thickBot="1" x14ac:dyDescent="0.35">
      <c r="B17" s="16" t="s">
        <v>53</v>
      </c>
      <c r="C17" s="8">
        <v>46039</v>
      </c>
      <c r="D17" s="3" t="s">
        <v>54</v>
      </c>
      <c r="E17" s="3" t="s">
        <v>17</v>
      </c>
      <c r="F17" s="3" t="s">
        <v>55</v>
      </c>
      <c r="G17" s="3" t="s">
        <v>32</v>
      </c>
      <c r="H17" s="3">
        <v>1</v>
      </c>
      <c r="I17" s="5">
        <v>1200</v>
      </c>
      <c r="J17" s="5">
        <f>Table1[[#This Row],[Quantity]]*Table1[[#This Row],[Price]]</f>
        <v>1200</v>
      </c>
      <c r="K17" s="18">
        <f>Table1[[#This Row],[Sales]]*14%</f>
        <v>168.00000000000003</v>
      </c>
    </row>
    <row r="18" spans="2:11" ht="15" thickBot="1" x14ac:dyDescent="0.35">
      <c r="B18" s="16" t="s">
        <v>56</v>
      </c>
      <c r="C18" s="8">
        <v>46150</v>
      </c>
      <c r="D18" s="3" t="s">
        <v>46</v>
      </c>
      <c r="E18" s="3" t="s">
        <v>36</v>
      </c>
      <c r="F18" s="3" t="s">
        <v>37</v>
      </c>
      <c r="G18" s="3" t="s">
        <v>14</v>
      </c>
      <c r="H18" s="3">
        <v>5</v>
      </c>
      <c r="I18" s="5">
        <v>2200</v>
      </c>
      <c r="J18" s="5">
        <f>Table1[[#This Row],[Quantity]]*Table1[[#This Row],[Price]]</f>
        <v>11000</v>
      </c>
      <c r="K18" s="18">
        <f>Table1[[#This Row],[Sales]]*14%</f>
        <v>1540.0000000000002</v>
      </c>
    </row>
    <row r="19" spans="2:11" ht="15" thickBot="1" x14ac:dyDescent="0.35">
      <c r="B19" s="16" t="s">
        <v>57</v>
      </c>
      <c r="C19" s="8">
        <v>46086</v>
      </c>
      <c r="D19" s="3" t="s">
        <v>42</v>
      </c>
      <c r="E19" s="3" t="s">
        <v>43</v>
      </c>
      <c r="F19" s="3" t="s">
        <v>37</v>
      </c>
      <c r="G19" s="3" t="s">
        <v>14</v>
      </c>
      <c r="H19" s="3">
        <v>4</v>
      </c>
      <c r="I19" s="5">
        <v>2200</v>
      </c>
      <c r="J19" s="5">
        <f>Table1[[#This Row],[Quantity]]*Table1[[#This Row],[Price]]</f>
        <v>8800</v>
      </c>
      <c r="K19" s="18">
        <f>Table1[[#This Row],[Sales]]*14%</f>
        <v>1232.0000000000002</v>
      </c>
    </row>
    <row r="20" spans="2:11" ht="15" thickBot="1" x14ac:dyDescent="0.35">
      <c r="B20" s="16" t="s">
        <v>58</v>
      </c>
      <c r="C20" s="8">
        <v>46132</v>
      </c>
      <c r="D20" s="3" t="s">
        <v>16</v>
      </c>
      <c r="E20" s="3" t="s">
        <v>17</v>
      </c>
      <c r="F20" s="3" t="s">
        <v>59</v>
      </c>
      <c r="G20" s="3" t="s">
        <v>60</v>
      </c>
      <c r="H20" s="3">
        <v>5</v>
      </c>
      <c r="I20" s="5">
        <v>8500</v>
      </c>
      <c r="J20" s="5">
        <f>Table1[[#This Row],[Quantity]]*Table1[[#This Row],[Price]]</f>
        <v>42500</v>
      </c>
      <c r="K20" s="18">
        <f>Table1[[#This Row],[Sales]]*14%</f>
        <v>5950.0000000000009</v>
      </c>
    </row>
    <row r="21" spans="2:11" ht="15" thickBot="1" x14ac:dyDescent="0.35">
      <c r="B21" s="16" t="s">
        <v>61</v>
      </c>
      <c r="C21" s="8">
        <v>46058</v>
      </c>
      <c r="D21" s="3" t="s">
        <v>62</v>
      </c>
      <c r="E21" s="3" t="s">
        <v>40</v>
      </c>
      <c r="F21" s="3" t="s">
        <v>63</v>
      </c>
      <c r="G21" s="3" t="s">
        <v>60</v>
      </c>
      <c r="H21" s="3">
        <v>4</v>
      </c>
      <c r="I21" s="5">
        <v>11000</v>
      </c>
      <c r="J21" s="5">
        <f>Table1[[#This Row],[Quantity]]*Table1[[#This Row],[Price]]</f>
        <v>44000</v>
      </c>
      <c r="K21" s="18">
        <f>Table1[[#This Row],[Sales]]*14%</f>
        <v>6160.0000000000009</v>
      </c>
    </row>
    <row r="22" spans="2:11" ht="15" thickBot="1" x14ac:dyDescent="0.35">
      <c r="B22" s="16" t="s">
        <v>64</v>
      </c>
      <c r="C22" s="8">
        <v>46062</v>
      </c>
      <c r="D22" s="3" t="s">
        <v>65</v>
      </c>
      <c r="E22" s="3" t="s">
        <v>12</v>
      </c>
      <c r="F22" s="3" t="s">
        <v>66</v>
      </c>
      <c r="G22" s="3" t="s">
        <v>67</v>
      </c>
      <c r="H22" s="3">
        <v>1</v>
      </c>
      <c r="I22" s="5">
        <v>11400</v>
      </c>
      <c r="J22" s="5">
        <f>Table1[[#This Row],[Quantity]]*Table1[[#This Row],[Price]]</f>
        <v>11400</v>
      </c>
      <c r="K22" s="18">
        <f>Table1[[#This Row],[Sales]]*14%</f>
        <v>1596.0000000000002</v>
      </c>
    </row>
    <row r="23" spans="2:11" ht="15" thickBot="1" x14ac:dyDescent="0.35">
      <c r="B23" s="16" t="s">
        <v>68</v>
      </c>
      <c r="C23" s="8">
        <v>46175</v>
      </c>
      <c r="D23" s="3" t="s">
        <v>11</v>
      </c>
      <c r="E23" s="3" t="s">
        <v>12</v>
      </c>
      <c r="F23" s="3" t="s">
        <v>28</v>
      </c>
      <c r="G23" s="3" t="s">
        <v>14</v>
      </c>
      <c r="H23" s="3">
        <v>4</v>
      </c>
      <c r="I23" s="5">
        <v>20900</v>
      </c>
      <c r="J23" s="5">
        <f>Table1[[#This Row],[Quantity]]*Table1[[#This Row],[Price]]</f>
        <v>83600</v>
      </c>
      <c r="K23" s="18">
        <f>Table1[[#This Row],[Sales]]*14%</f>
        <v>11704.000000000002</v>
      </c>
    </row>
    <row r="24" spans="2:11" ht="15" thickBot="1" x14ac:dyDescent="0.35">
      <c r="B24" s="16" t="s">
        <v>69</v>
      </c>
      <c r="C24" s="8">
        <v>46052</v>
      </c>
      <c r="D24" s="3" t="s">
        <v>70</v>
      </c>
      <c r="E24" s="3" t="s">
        <v>12</v>
      </c>
      <c r="F24" s="3" t="s">
        <v>59</v>
      </c>
      <c r="G24" s="3" t="s">
        <v>60</v>
      </c>
      <c r="H24" s="3">
        <v>3</v>
      </c>
      <c r="I24" s="5">
        <v>8075</v>
      </c>
      <c r="J24" s="5">
        <f>Table1[[#This Row],[Quantity]]*Table1[[#This Row],[Price]]</f>
        <v>24225</v>
      </c>
      <c r="K24" s="18">
        <f>Table1[[#This Row],[Sales]]*14%</f>
        <v>3391.5000000000005</v>
      </c>
    </row>
    <row r="25" spans="2:11" ht="15" thickBot="1" x14ac:dyDescent="0.35">
      <c r="B25" s="16" t="s">
        <v>71</v>
      </c>
      <c r="C25" s="8">
        <v>46110</v>
      </c>
      <c r="D25" s="3" t="s">
        <v>39</v>
      </c>
      <c r="E25" s="3" t="s">
        <v>40</v>
      </c>
      <c r="F25" s="3" t="s">
        <v>37</v>
      </c>
      <c r="G25" s="3" t="s">
        <v>14</v>
      </c>
      <c r="H25" s="3">
        <v>5</v>
      </c>
      <c r="I25" s="5">
        <v>2200</v>
      </c>
      <c r="J25" s="5">
        <f>Table1[[#This Row],[Quantity]]*Table1[[#This Row],[Price]]</f>
        <v>11000</v>
      </c>
      <c r="K25" s="18">
        <f>Table1[[#This Row],[Sales]]*14%</f>
        <v>1540.0000000000002</v>
      </c>
    </row>
    <row r="26" spans="2:11" ht="15" thickBot="1" x14ac:dyDescent="0.35">
      <c r="B26" s="16" t="s">
        <v>72</v>
      </c>
      <c r="C26" s="8">
        <v>46090</v>
      </c>
      <c r="D26" s="3" t="s">
        <v>30</v>
      </c>
      <c r="E26" s="3" t="s">
        <v>17</v>
      </c>
      <c r="F26" s="3" t="s">
        <v>44</v>
      </c>
      <c r="G26" s="3" t="s">
        <v>32</v>
      </c>
      <c r="H26" s="3">
        <v>4</v>
      </c>
      <c r="I26" s="5">
        <v>1800</v>
      </c>
      <c r="J26" s="5">
        <f>Table1[[#This Row],[Quantity]]*Table1[[#This Row],[Price]]</f>
        <v>7200</v>
      </c>
      <c r="K26" s="18">
        <f>Table1[[#This Row],[Sales]]*14%</f>
        <v>1008.0000000000001</v>
      </c>
    </row>
    <row r="27" spans="2:11" ht="15" thickBot="1" x14ac:dyDescent="0.35">
      <c r="B27" s="16" t="s">
        <v>73</v>
      </c>
      <c r="C27" s="8">
        <v>46099</v>
      </c>
      <c r="D27" s="3" t="s">
        <v>65</v>
      </c>
      <c r="E27" s="3" t="s">
        <v>12</v>
      </c>
      <c r="F27" s="3" t="s">
        <v>25</v>
      </c>
      <c r="G27" s="3" t="s">
        <v>26</v>
      </c>
      <c r="H27" s="3">
        <v>2</v>
      </c>
      <c r="I27" s="5">
        <v>332.5</v>
      </c>
      <c r="J27" s="5">
        <f>Table1[[#This Row],[Quantity]]*Table1[[#This Row],[Price]]</f>
        <v>665</v>
      </c>
      <c r="K27" s="18">
        <f>Table1[[#This Row],[Sales]]*14%</f>
        <v>93.100000000000009</v>
      </c>
    </row>
    <row r="28" spans="2:11" ht="15" thickBot="1" x14ac:dyDescent="0.35">
      <c r="B28" s="16" t="s">
        <v>74</v>
      </c>
      <c r="C28" s="8">
        <v>46064</v>
      </c>
      <c r="D28" s="3" t="s">
        <v>75</v>
      </c>
      <c r="E28" s="3" t="s">
        <v>12</v>
      </c>
      <c r="F28" s="3" t="s">
        <v>47</v>
      </c>
      <c r="G28" s="3" t="s">
        <v>48</v>
      </c>
      <c r="H28" s="3">
        <v>5</v>
      </c>
      <c r="I28" s="5">
        <v>1800</v>
      </c>
      <c r="J28" s="5">
        <f>Table1[[#This Row],[Quantity]]*Table1[[#This Row],[Price]]</f>
        <v>9000</v>
      </c>
      <c r="K28" s="18">
        <f>Table1[[#This Row],[Sales]]*14%</f>
        <v>1260.0000000000002</v>
      </c>
    </row>
    <row r="29" spans="2:11" ht="15" thickBot="1" x14ac:dyDescent="0.35">
      <c r="B29" s="16" t="s">
        <v>76</v>
      </c>
      <c r="C29" s="8">
        <v>46148</v>
      </c>
      <c r="D29" s="3" t="s">
        <v>21</v>
      </c>
      <c r="E29" s="3" t="s">
        <v>17</v>
      </c>
      <c r="F29" s="3" t="s">
        <v>25</v>
      </c>
      <c r="G29" s="3" t="s">
        <v>26</v>
      </c>
      <c r="H29" s="3">
        <v>5</v>
      </c>
      <c r="I29" s="5">
        <v>332.5</v>
      </c>
      <c r="J29" s="5">
        <f>Table1[[#This Row],[Quantity]]*Table1[[#This Row],[Price]]</f>
        <v>1662.5</v>
      </c>
      <c r="K29" s="18">
        <f>Table1[[#This Row],[Sales]]*14%</f>
        <v>232.75000000000003</v>
      </c>
    </row>
    <row r="30" spans="2:11" ht="15" thickBot="1" x14ac:dyDescent="0.35">
      <c r="B30" s="16" t="s">
        <v>77</v>
      </c>
      <c r="C30" s="8">
        <v>46084</v>
      </c>
      <c r="D30" s="3" t="s">
        <v>19</v>
      </c>
      <c r="E30" s="3" t="s">
        <v>12</v>
      </c>
      <c r="F30" s="3" t="s">
        <v>13</v>
      </c>
      <c r="G30" s="3" t="s">
        <v>14</v>
      </c>
      <c r="H30" s="3">
        <v>3</v>
      </c>
      <c r="I30" s="5">
        <v>28000</v>
      </c>
      <c r="J30" s="5">
        <f>Table1[[#This Row],[Quantity]]*Table1[[#This Row],[Price]]</f>
        <v>84000</v>
      </c>
      <c r="K30" s="18">
        <f>Table1[[#This Row],[Sales]]*14%</f>
        <v>11760.000000000002</v>
      </c>
    </row>
    <row r="31" spans="2:11" ht="15" thickBot="1" x14ac:dyDescent="0.35">
      <c r="B31" s="16" t="s">
        <v>78</v>
      </c>
      <c r="C31" s="8">
        <v>46040</v>
      </c>
      <c r="D31" s="3" t="s">
        <v>62</v>
      </c>
      <c r="E31" s="3" t="s">
        <v>40</v>
      </c>
      <c r="F31" s="3" t="s">
        <v>63</v>
      </c>
      <c r="G31" s="3" t="s">
        <v>60</v>
      </c>
      <c r="H31" s="3">
        <v>1</v>
      </c>
      <c r="I31" s="5">
        <v>10450</v>
      </c>
      <c r="J31" s="5">
        <f>Table1[[#This Row],[Quantity]]*Table1[[#This Row],[Price]]</f>
        <v>10450</v>
      </c>
      <c r="K31" s="18">
        <f>Table1[[#This Row],[Sales]]*14%</f>
        <v>1463.0000000000002</v>
      </c>
    </row>
    <row r="32" spans="2:11" ht="15" thickBot="1" x14ac:dyDescent="0.35">
      <c r="B32" s="16" t="s">
        <v>79</v>
      </c>
      <c r="C32" s="8">
        <v>46163</v>
      </c>
      <c r="D32" s="3" t="s">
        <v>80</v>
      </c>
      <c r="E32" s="3" t="s">
        <v>36</v>
      </c>
      <c r="F32" s="3" t="s">
        <v>59</v>
      </c>
      <c r="G32" s="3" t="s">
        <v>60</v>
      </c>
      <c r="H32" s="3">
        <v>2</v>
      </c>
      <c r="I32" s="5">
        <v>8500</v>
      </c>
      <c r="J32" s="5">
        <f>Table1[[#This Row],[Quantity]]*Table1[[#This Row],[Price]]</f>
        <v>17000</v>
      </c>
      <c r="K32" s="18">
        <f>Table1[[#This Row],[Sales]]*14%</f>
        <v>2380</v>
      </c>
    </row>
    <row r="33" spans="2:11" ht="15" thickBot="1" x14ac:dyDescent="0.35">
      <c r="B33" s="16" t="s">
        <v>81</v>
      </c>
      <c r="C33" s="8">
        <v>46161</v>
      </c>
      <c r="D33" s="3" t="s">
        <v>82</v>
      </c>
      <c r="E33" s="3" t="s">
        <v>83</v>
      </c>
      <c r="F33" s="3" t="s">
        <v>44</v>
      </c>
      <c r="G33" s="3" t="s">
        <v>32</v>
      </c>
      <c r="H33" s="3">
        <v>5</v>
      </c>
      <c r="I33" s="5">
        <v>1890</v>
      </c>
      <c r="J33" s="5">
        <f>Table1[[#This Row],[Quantity]]*Table1[[#This Row],[Price]]</f>
        <v>9450</v>
      </c>
      <c r="K33" s="18">
        <f>Table1[[#This Row],[Sales]]*14%</f>
        <v>1323.0000000000002</v>
      </c>
    </row>
    <row r="34" spans="2:11" ht="15" thickBot="1" x14ac:dyDescent="0.35">
      <c r="B34" s="16" t="s">
        <v>84</v>
      </c>
      <c r="C34" s="8">
        <v>46194</v>
      </c>
      <c r="D34" s="3" t="s">
        <v>80</v>
      </c>
      <c r="E34" s="3" t="s">
        <v>36</v>
      </c>
      <c r="F34" s="3" t="s">
        <v>50</v>
      </c>
      <c r="G34" s="3" t="s">
        <v>26</v>
      </c>
      <c r="H34" s="3">
        <v>2</v>
      </c>
      <c r="I34" s="5">
        <v>250</v>
      </c>
      <c r="J34" s="5">
        <f>Table1[[#This Row],[Quantity]]*Table1[[#This Row],[Price]]</f>
        <v>500</v>
      </c>
      <c r="K34" s="18">
        <f>Table1[[#This Row],[Sales]]*14%</f>
        <v>70</v>
      </c>
    </row>
    <row r="35" spans="2:11" ht="15" thickBot="1" x14ac:dyDescent="0.35">
      <c r="B35" s="16" t="s">
        <v>85</v>
      </c>
      <c r="C35" s="8">
        <v>46080</v>
      </c>
      <c r="D35" s="3" t="s">
        <v>11</v>
      </c>
      <c r="E35" s="3" t="s">
        <v>12</v>
      </c>
      <c r="F35" s="3" t="s">
        <v>31</v>
      </c>
      <c r="G35" s="3" t="s">
        <v>32</v>
      </c>
      <c r="H35" s="3">
        <v>4</v>
      </c>
      <c r="I35" s="5">
        <v>945</v>
      </c>
      <c r="J35" s="5">
        <f>Table1[[#This Row],[Quantity]]*Table1[[#This Row],[Price]]</f>
        <v>3780</v>
      </c>
      <c r="K35" s="18">
        <f>Table1[[#This Row],[Sales]]*14%</f>
        <v>529.20000000000005</v>
      </c>
    </row>
    <row r="36" spans="2:11" ht="15" thickBot="1" x14ac:dyDescent="0.35">
      <c r="B36" s="16" t="s">
        <v>86</v>
      </c>
      <c r="C36" s="8">
        <v>46024</v>
      </c>
      <c r="D36" s="3" t="s">
        <v>87</v>
      </c>
      <c r="E36" s="3" t="s">
        <v>12</v>
      </c>
      <c r="F36" s="3" t="s">
        <v>31</v>
      </c>
      <c r="G36" s="3" t="s">
        <v>32</v>
      </c>
      <c r="H36" s="3">
        <v>1</v>
      </c>
      <c r="I36" s="5">
        <v>900</v>
      </c>
      <c r="J36" s="5">
        <f>Table1[[#This Row],[Quantity]]*Table1[[#This Row],[Price]]</f>
        <v>900</v>
      </c>
      <c r="K36" s="18">
        <f>Table1[[#This Row],[Sales]]*14%</f>
        <v>126.00000000000001</v>
      </c>
    </row>
    <row r="37" spans="2:11" ht="15" thickBot="1" x14ac:dyDescent="0.35">
      <c r="B37" s="16" t="s">
        <v>88</v>
      </c>
      <c r="C37" s="8">
        <v>46031</v>
      </c>
      <c r="D37" s="3" t="s">
        <v>87</v>
      </c>
      <c r="E37" s="3" t="s">
        <v>12</v>
      </c>
      <c r="F37" s="3" t="s">
        <v>50</v>
      </c>
      <c r="G37" s="3" t="s">
        <v>26</v>
      </c>
      <c r="H37" s="3">
        <v>1</v>
      </c>
      <c r="I37" s="5">
        <v>250</v>
      </c>
      <c r="J37" s="5">
        <f>Table1[[#This Row],[Quantity]]*Table1[[#This Row],[Price]]</f>
        <v>250</v>
      </c>
      <c r="K37" s="18">
        <f>Table1[[#This Row],[Sales]]*14%</f>
        <v>35</v>
      </c>
    </row>
    <row r="38" spans="2:11" ht="15" thickBot="1" x14ac:dyDescent="0.35">
      <c r="B38" s="16" t="s">
        <v>89</v>
      </c>
      <c r="C38" s="8">
        <v>46147</v>
      </c>
      <c r="D38" s="3" t="s">
        <v>90</v>
      </c>
      <c r="E38" s="3" t="s">
        <v>83</v>
      </c>
      <c r="F38" s="3" t="s">
        <v>31</v>
      </c>
      <c r="G38" s="3" t="s">
        <v>32</v>
      </c>
      <c r="H38" s="3">
        <v>1</v>
      </c>
      <c r="I38" s="5">
        <v>900</v>
      </c>
      <c r="J38" s="5">
        <f>Table1[[#This Row],[Quantity]]*Table1[[#This Row],[Price]]</f>
        <v>900</v>
      </c>
      <c r="K38" s="18">
        <f>Table1[[#This Row],[Sales]]*14%</f>
        <v>126.00000000000001</v>
      </c>
    </row>
    <row r="39" spans="2:11" ht="15" thickBot="1" x14ac:dyDescent="0.35">
      <c r="B39" s="16" t="s">
        <v>91</v>
      </c>
      <c r="C39" s="8">
        <v>46144</v>
      </c>
      <c r="D39" s="3" t="s">
        <v>46</v>
      </c>
      <c r="E39" s="3" t="s">
        <v>36</v>
      </c>
      <c r="F39" s="3" t="s">
        <v>59</v>
      </c>
      <c r="G39" s="3" t="s">
        <v>60</v>
      </c>
      <c r="H39" s="3">
        <v>2</v>
      </c>
      <c r="I39" s="5">
        <v>8925</v>
      </c>
      <c r="J39" s="5">
        <f>Table1[[#This Row],[Quantity]]*Table1[[#This Row],[Price]]</f>
        <v>17850</v>
      </c>
      <c r="K39" s="18">
        <f>Table1[[#This Row],[Sales]]*14%</f>
        <v>2499.0000000000005</v>
      </c>
    </row>
    <row r="40" spans="2:11" ht="15" thickBot="1" x14ac:dyDescent="0.35">
      <c r="B40" s="16" t="s">
        <v>92</v>
      </c>
      <c r="C40" s="8">
        <v>46133</v>
      </c>
      <c r="D40" s="3" t="s">
        <v>93</v>
      </c>
      <c r="E40" s="3" t="s">
        <v>43</v>
      </c>
      <c r="F40" s="3" t="s">
        <v>94</v>
      </c>
      <c r="G40" s="3" t="s">
        <v>32</v>
      </c>
      <c r="H40" s="3">
        <v>2</v>
      </c>
      <c r="I40" s="5">
        <v>2375</v>
      </c>
      <c r="J40" s="5">
        <f>Table1[[#This Row],[Quantity]]*Table1[[#This Row],[Price]]</f>
        <v>4750</v>
      </c>
      <c r="K40" s="18">
        <f>Table1[[#This Row],[Sales]]*14%</f>
        <v>665.00000000000011</v>
      </c>
    </row>
    <row r="41" spans="2:11" ht="15" thickBot="1" x14ac:dyDescent="0.35">
      <c r="B41" s="16" t="s">
        <v>95</v>
      </c>
      <c r="C41" s="8">
        <v>46036</v>
      </c>
      <c r="D41" s="3" t="s">
        <v>96</v>
      </c>
      <c r="E41" s="3" t="s">
        <v>83</v>
      </c>
      <c r="F41" s="3" t="s">
        <v>94</v>
      </c>
      <c r="G41" s="3" t="s">
        <v>32</v>
      </c>
      <c r="H41" s="3">
        <v>4</v>
      </c>
      <c r="I41" s="5">
        <v>2625</v>
      </c>
      <c r="J41" s="5">
        <f>Table1[[#This Row],[Quantity]]*Table1[[#This Row],[Price]]</f>
        <v>10500</v>
      </c>
      <c r="K41" s="18">
        <f>Table1[[#This Row],[Sales]]*14%</f>
        <v>1470.0000000000002</v>
      </c>
    </row>
    <row r="42" spans="2:11" ht="15" thickBot="1" x14ac:dyDescent="0.35">
      <c r="B42" s="16" t="s">
        <v>97</v>
      </c>
      <c r="C42" s="8">
        <v>46109</v>
      </c>
      <c r="D42" s="3" t="s">
        <v>39</v>
      </c>
      <c r="E42" s="3" t="s">
        <v>40</v>
      </c>
      <c r="F42" s="3" t="s">
        <v>47</v>
      </c>
      <c r="G42" s="3" t="s">
        <v>48</v>
      </c>
      <c r="H42" s="3">
        <v>1</v>
      </c>
      <c r="I42" s="5">
        <v>1710</v>
      </c>
      <c r="J42" s="5">
        <f>Table1[[#This Row],[Quantity]]*Table1[[#This Row],[Price]]</f>
        <v>1710</v>
      </c>
      <c r="K42" s="18">
        <f>Table1[[#This Row],[Sales]]*14%</f>
        <v>239.40000000000003</v>
      </c>
    </row>
    <row r="43" spans="2:11" ht="15" thickBot="1" x14ac:dyDescent="0.35">
      <c r="B43" s="16" t="s">
        <v>98</v>
      </c>
      <c r="C43" s="8">
        <v>46160</v>
      </c>
      <c r="D43" s="3" t="s">
        <v>93</v>
      </c>
      <c r="E43" s="3" t="s">
        <v>43</v>
      </c>
      <c r="F43" s="3" t="s">
        <v>55</v>
      </c>
      <c r="G43" s="3" t="s">
        <v>32</v>
      </c>
      <c r="H43" s="3">
        <v>1</v>
      </c>
      <c r="I43" s="5">
        <v>1200</v>
      </c>
      <c r="J43" s="5">
        <f>Table1[[#This Row],[Quantity]]*Table1[[#This Row],[Price]]</f>
        <v>1200</v>
      </c>
      <c r="K43" s="18">
        <f>Table1[[#This Row],[Sales]]*14%</f>
        <v>168.00000000000003</v>
      </c>
    </row>
    <row r="44" spans="2:11" ht="15" thickBot="1" x14ac:dyDescent="0.35">
      <c r="B44" s="16" t="s">
        <v>99</v>
      </c>
      <c r="C44" s="8">
        <v>46086</v>
      </c>
      <c r="D44" s="3" t="s">
        <v>70</v>
      </c>
      <c r="E44" s="3" t="s">
        <v>12</v>
      </c>
      <c r="F44" s="3" t="s">
        <v>28</v>
      </c>
      <c r="G44" s="3" t="s">
        <v>14</v>
      </c>
      <c r="H44" s="3">
        <v>4</v>
      </c>
      <c r="I44" s="5">
        <v>22000</v>
      </c>
      <c r="J44" s="5">
        <f>Table1[[#This Row],[Quantity]]*Table1[[#This Row],[Price]]</f>
        <v>88000</v>
      </c>
      <c r="K44" s="18">
        <f>Table1[[#This Row],[Sales]]*14%</f>
        <v>12320.000000000002</v>
      </c>
    </row>
    <row r="45" spans="2:11" ht="15" thickBot="1" x14ac:dyDescent="0.35">
      <c r="B45" s="16" t="s">
        <v>100</v>
      </c>
      <c r="C45" s="8">
        <v>46163</v>
      </c>
      <c r="D45" s="3" t="s">
        <v>90</v>
      </c>
      <c r="E45" s="3" t="s">
        <v>83</v>
      </c>
      <c r="F45" s="3" t="s">
        <v>37</v>
      </c>
      <c r="G45" s="3" t="s">
        <v>14</v>
      </c>
      <c r="H45" s="3">
        <v>1</v>
      </c>
      <c r="I45" s="5">
        <v>2310</v>
      </c>
      <c r="J45" s="5">
        <f>Table1[[#This Row],[Quantity]]*Table1[[#This Row],[Price]]</f>
        <v>2310</v>
      </c>
      <c r="K45" s="18">
        <f>Table1[[#This Row],[Sales]]*14%</f>
        <v>323.40000000000003</v>
      </c>
    </row>
    <row r="46" spans="2:11" ht="15" thickBot="1" x14ac:dyDescent="0.35">
      <c r="B46" s="16" t="s">
        <v>101</v>
      </c>
      <c r="C46" s="8">
        <v>46083</v>
      </c>
      <c r="D46" s="3" t="s">
        <v>30</v>
      </c>
      <c r="E46" s="3" t="s">
        <v>17</v>
      </c>
      <c r="F46" s="3" t="s">
        <v>102</v>
      </c>
      <c r="G46" s="3" t="s">
        <v>14</v>
      </c>
      <c r="H46" s="3">
        <v>5</v>
      </c>
      <c r="I46" s="5">
        <v>52250</v>
      </c>
      <c r="J46" s="5">
        <f>Table1[[#This Row],[Quantity]]*Table1[[#This Row],[Price]]</f>
        <v>261250</v>
      </c>
      <c r="K46" s="18">
        <f>Table1[[#This Row],[Sales]]*14%</f>
        <v>36575</v>
      </c>
    </row>
    <row r="47" spans="2:11" ht="15" thickBot="1" x14ac:dyDescent="0.35">
      <c r="B47" s="16" t="s">
        <v>103</v>
      </c>
      <c r="C47" s="8">
        <v>46125</v>
      </c>
      <c r="D47" s="3" t="s">
        <v>82</v>
      </c>
      <c r="E47" s="3" t="s">
        <v>83</v>
      </c>
      <c r="F47" s="3" t="s">
        <v>94</v>
      </c>
      <c r="G47" s="3" t="s">
        <v>32</v>
      </c>
      <c r="H47" s="3">
        <v>4</v>
      </c>
      <c r="I47" s="5">
        <v>2625</v>
      </c>
      <c r="J47" s="5">
        <f>Table1[[#This Row],[Quantity]]*Table1[[#This Row],[Price]]</f>
        <v>10500</v>
      </c>
      <c r="K47" s="18">
        <f>Table1[[#This Row],[Sales]]*14%</f>
        <v>1470.0000000000002</v>
      </c>
    </row>
    <row r="48" spans="2:11" ht="15" thickBot="1" x14ac:dyDescent="0.35">
      <c r="B48" s="16" t="s">
        <v>104</v>
      </c>
      <c r="C48" s="8">
        <v>46122</v>
      </c>
      <c r="D48" s="3" t="s">
        <v>62</v>
      </c>
      <c r="E48" s="3" t="s">
        <v>40</v>
      </c>
      <c r="F48" s="3" t="s">
        <v>102</v>
      </c>
      <c r="G48" s="3" t="s">
        <v>14</v>
      </c>
      <c r="H48" s="3">
        <v>2</v>
      </c>
      <c r="I48" s="5">
        <v>57750</v>
      </c>
      <c r="J48" s="5">
        <f>Table1[[#This Row],[Quantity]]*Table1[[#This Row],[Price]]</f>
        <v>115500</v>
      </c>
      <c r="K48" s="18">
        <f>Table1[[#This Row],[Sales]]*14%</f>
        <v>16170.000000000002</v>
      </c>
    </row>
    <row r="49" spans="2:11" ht="15" thickBot="1" x14ac:dyDescent="0.35">
      <c r="B49" s="16" t="s">
        <v>105</v>
      </c>
      <c r="C49" s="8">
        <v>46165</v>
      </c>
      <c r="D49" s="3" t="s">
        <v>24</v>
      </c>
      <c r="E49" s="3" t="s">
        <v>12</v>
      </c>
      <c r="F49" s="3" t="s">
        <v>37</v>
      </c>
      <c r="G49" s="3" t="s">
        <v>14</v>
      </c>
      <c r="H49" s="3">
        <v>4</v>
      </c>
      <c r="I49" s="5">
        <v>2200</v>
      </c>
      <c r="J49" s="5">
        <f>Table1[[#This Row],[Quantity]]*Table1[[#This Row],[Price]]</f>
        <v>8800</v>
      </c>
      <c r="K49" s="18">
        <f>Table1[[#This Row],[Sales]]*14%</f>
        <v>1232.0000000000002</v>
      </c>
    </row>
    <row r="50" spans="2:11" ht="15" thickBot="1" x14ac:dyDescent="0.35">
      <c r="B50" s="16" t="s">
        <v>106</v>
      </c>
      <c r="C50" s="8">
        <v>46078</v>
      </c>
      <c r="D50" s="3" t="s">
        <v>39</v>
      </c>
      <c r="E50" s="3" t="s">
        <v>40</v>
      </c>
      <c r="F50" s="3" t="s">
        <v>50</v>
      </c>
      <c r="G50" s="3" t="s">
        <v>26</v>
      </c>
      <c r="H50" s="3">
        <v>4</v>
      </c>
      <c r="I50" s="5">
        <v>250</v>
      </c>
      <c r="J50" s="5">
        <f>Table1[[#This Row],[Quantity]]*Table1[[#This Row],[Price]]</f>
        <v>1000</v>
      </c>
      <c r="K50" s="18">
        <f>Table1[[#This Row],[Sales]]*14%</f>
        <v>140</v>
      </c>
    </row>
    <row r="51" spans="2:11" ht="15" thickBot="1" x14ac:dyDescent="0.35">
      <c r="B51" s="16" t="s">
        <v>107</v>
      </c>
      <c r="C51" s="8">
        <v>46037</v>
      </c>
      <c r="D51" s="3" t="s">
        <v>108</v>
      </c>
      <c r="E51" s="3" t="s">
        <v>83</v>
      </c>
      <c r="F51" s="3" t="s">
        <v>63</v>
      </c>
      <c r="G51" s="3" t="s">
        <v>60</v>
      </c>
      <c r="H51" s="3">
        <v>5</v>
      </c>
      <c r="I51" s="5">
        <v>10450</v>
      </c>
      <c r="J51" s="5">
        <f>Table1[[#This Row],[Quantity]]*Table1[[#This Row],[Price]]</f>
        <v>52250</v>
      </c>
      <c r="K51" s="18">
        <f>Table1[[#This Row],[Sales]]*14%</f>
        <v>7315.0000000000009</v>
      </c>
    </row>
    <row r="52" spans="2:11" ht="15" thickBot="1" x14ac:dyDescent="0.35">
      <c r="B52" s="16" t="s">
        <v>109</v>
      </c>
      <c r="C52" s="8">
        <v>46153</v>
      </c>
      <c r="D52" s="3" t="s">
        <v>108</v>
      </c>
      <c r="E52" s="3" t="s">
        <v>83</v>
      </c>
      <c r="F52" s="3" t="s">
        <v>63</v>
      </c>
      <c r="G52" s="3" t="s">
        <v>60</v>
      </c>
      <c r="H52" s="3">
        <v>4</v>
      </c>
      <c r="I52" s="5">
        <v>11000</v>
      </c>
      <c r="J52" s="5">
        <f>Table1[[#This Row],[Quantity]]*Table1[[#This Row],[Price]]</f>
        <v>44000</v>
      </c>
      <c r="K52" s="18">
        <f>Table1[[#This Row],[Sales]]*14%</f>
        <v>6160.0000000000009</v>
      </c>
    </row>
    <row r="53" spans="2:11" ht="15" thickBot="1" x14ac:dyDescent="0.35">
      <c r="B53" s="16" t="s">
        <v>110</v>
      </c>
      <c r="C53" s="8">
        <v>46195</v>
      </c>
      <c r="D53" s="3" t="s">
        <v>87</v>
      </c>
      <c r="E53" s="3" t="s">
        <v>12</v>
      </c>
      <c r="F53" s="3" t="s">
        <v>55</v>
      </c>
      <c r="G53" s="3" t="s">
        <v>32</v>
      </c>
      <c r="H53" s="3">
        <v>2</v>
      </c>
      <c r="I53" s="5">
        <v>1140</v>
      </c>
      <c r="J53" s="5">
        <f>Table1[[#This Row],[Quantity]]*Table1[[#This Row],[Price]]</f>
        <v>2280</v>
      </c>
      <c r="K53" s="18">
        <f>Table1[[#This Row],[Sales]]*14%</f>
        <v>319.20000000000005</v>
      </c>
    </row>
    <row r="54" spans="2:11" ht="15" thickBot="1" x14ac:dyDescent="0.35">
      <c r="B54" s="16" t="s">
        <v>111</v>
      </c>
      <c r="C54" s="8">
        <v>46168</v>
      </c>
      <c r="D54" s="3" t="s">
        <v>90</v>
      </c>
      <c r="E54" s="3" t="s">
        <v>83</v>
      </c>
      <c r="F54" s="3" t="s">
        <v>22</v>
      </c>
      <c r="G54" s="3" t="s">
        <v>14</v>
      </c>
      <c r="H54" s="3">
        <v>4</v>
      </c>
      <c r="I54" s="5">
        <v>14250</v>
      </c>
      <c r="J54" s="5">
        <f>Table1[[#This Row],[Quantity]]*Table1[[#This Row],[Price]]</f>
        <v>57000</v>
      </c>
      <c r="K54" s="18">
        <f>Table1[[#This Row],[Sales]]*14%</f>
        <v>7980.0000000000009</v>
      </c>
    </row>
    <row r="55" spans="2:11" ht="15" thickBot="1" x14ac:dyDescent="0.35">
      <c r="B55" s="16" t="s">
        <v>112</v>
      </c>
      <c r="C55" s="8">
        <v>46130</v>
      </c>
      <c r="D55" s="3" t="s">
        <v>54</v>
      </c>
      <c r="E55" s="3" t="s">
        <v>17</v>
      </c>
      <c r="F55" s="3" t="s">
        <v>63</v>
      </c>
      <c r="G55" s="3" t="s">
        <v>60</v>
      </c>
      <c r="H55" s="3">
        <v>5</v>
      </c>
      <c r="I55" s="5">
        <v>10450</v>
      </c>
      <c r="J55" s="5">
        <f>Table1[[#This Row],[Quantity]]*Table1[[#This Row],[Price]]</f>
        <v>52250</v>
      </c>
      <c r="K55" s="18">
        <f>Table1[[#This Row],[Sales]]*14%</f>
        <v>7315.0000000000009</v>
      </c>
    </row>
    <row r="56" spans="2:11" ht="15" thickBot="1" x14ac:dyDescent="0.35">
      <c r="B56" s="16" t="s">
        <v>113</v>
      </c>
      <c r="C56" s="8">
        <v>46075</v>
      </c>
      <c r="D56" s="3" t="s">
        <v>39</v>
      </c>
      <c r="E56" s="3" t="s">
        <v>40</v>
      </c>
      <c r="F56" s="3" t="s">
        <v>63</v>
      </c>
      <c r="G56" s="3" t="s">
        <v>60</v>
      </c>
      <c r="H56" s="3">
        <v>5</v>
      </c>
      <c r="I56" s="5">
        <v>11000</v>
      </c>
      <c r="J56" s="5">
        <f>Table1[[#This Row],[Quantity]]*Table1[[#This Row],[Price]]</f>
        <v>55000</v>
      </c>
      <c r="K56" s="18">
        <f>Table1[[#This Row],[Sales]]*14%</f>
        <v>7700.0000000000009</v>
      </c>
    </row>
    <row r="57" spans="2:11" ht="15" thickBot="1" x14ac:dyDescent="0.35">
      <c r="B57" s="16" t="s">
        <v>114</v>
      </c>
      <c r="C57" s="8">
        <v>46056</v>
      </c>
      <c r="D57" s="3" t="s">
        <v>39</v>
      </c>
      <c r="E57" s="3" t="s">
        <v>40</v>
      </c>
      <c r="F57" s="3" t="s">
        <v>50</v>
      </c>
      <c r="G57" s="3" t="s">
        <v>26</v>
      </c>
      <c r="H57" s="3">
        <v>3</v>
      </c>
      <c r="I57" s="5">
        <v>250</v>
      </c>
      <c r="J57" s="5">
        <f>Table1[[#This Row],[Quantity]]*Table1[[#This Row],[Price]]</f>
        <v>750</v>
      </c>
      <c r="K57" s="18">
        <f>Table1[[#This Row],[Sales]]*14%</f>
        <v>105.00000000000001</v>
      </c>
    </row>
    <row r="58" spans="2:11" ht="15" thickBot="1" x14ac:dyDescent="0.35">
      <c r="B58" s="16" t="s">
        <v>115</v>
      </c>
      <c r="C58" s="8">
        <v>46041</v>
      </c>
      <c r="D58" s="3" t="s">
        <v>39</v>
      </c>
      <c r="E58" s="3" t="s">
        <v>40</v>
      </c>
      <c r="F58" s="3" t="s">
        <v>47</v>
      </c>
      <c r="G58" s="3" t="s">
        <v>48</v>
      </c>
      <c r="H58" s="3">
        <v>3</v>
      </c>
      <c r="I58" s="5">
        <v>1890</v>
      </c>
      <c r="J58" s="5">
        <f>Table1[[#This Row],[Quantity]]*Table1[[#This Row],[Price]]</f>
        <v>5670</v>
      </c>
      <c r="K58" s="18">
        <f>Table1[[#This Row],[Sales]]*14%</f>
        <v>793.80000000000007</v>
      </c>
    </row>
    <row r="59" spans="2:11" ht="15" thickBot="1" x14ac:dyDescent="0.35">
      <c r="B59" s="16" t="s">
        <v>116</v>
      </c>
      <c r="C59" s="8">
        <v>46077</v>
      </c>
      <c r="D59" s="3" t="s">
        <v>19</v>
      </c>
      <c r="E59" s="3" t="s">
        <v>12</v>
      </c>
      <c r="F59" s="3" t="s">
        <v>66</v>
      </c>
      <c r="G59" s="3" t="s">
        <v>67</v>
      </c>
      <c r="H59" s="3">
        <v>5</v>
      </c>
      <c r="I59" s="5">
        <v>11400</v>
      </c>
      <c r="J59" s="5">
        <f>Table1[[#This Row],[Quantity]]*Table1[[#This Row],[Price]]</f>
        <v>57000</v>
      </c>
      <c r="K59" s="18">
        <f>Table1[[#This Row],[Sales]]*14%</f>
        <v>7980.0000000000009</v>
      </c>
    </row>
    <row r="60" spans="2:11" ht="15" thickBot="1" x14ac:dyDescent="0.35">
      <c r="B60" s="16" t="s">
        <v>117</v>
      </c>
      <c r="C60" s="8">
        <v>46085</v>
      </c>
      <c r="D60" s="3" t="s">
        <v>65</v>
      </c>
      <c r="E60" s="3" t="s">
        <v>12</v>
      </c>
      <c r="F60" s="3" t="s">
        <v>44</v>
      </c>
      <c r="G60" s="3" t="s">
        <v>32</v>
      </c>
      <c r="H60" s="3">
        <v>2</v>
      </c>
      <c r="I60" s="5">
        <v>1800</v>
      </c>
      <c r="J60" s="5">
        <f>Table1[[#This Row],[Quantity]]*Table1[[#This Row],[Price]]</f>
        <v>3600</v>
      </c>
      <c r="K60" s="18">
        <f>Table1[[#This Row],[Sales]]*14%</f>
        <v>504.00000000000006</v>
      </c>
    </row>
    <row r="61" spans="2:11" ht="15" thickBot="1" x14ac:dyDescent="0.35">
      <c r="B61" s="16" t="s">
        <v>118</v>
      </c>
      <c r="C61" s="8">
        <v>46203</v>
      </c>
      <c r="D61" s="3" t="s">
        <v>96</v>
      </c>
      <c r="E61" s="3" t="s">
        <v>83</v>
      </c>
      <c r="F61" s="3" t="s">
        <v>44</v>
      </c>
      <c r="G61" s="3" t="s">
        <v>32</v>
      </c>
      <c r="H61" s="3">
        <v>2</v>
      </c>
      <c r="I61" s="5">
        <v>1890</v>
      </c>
      <c r="J61" s="5">
        <f>Table1[[#This Row],[Quantity]]*Table1[[#This Row],[Price]]</f>
        <v>3780</v>
      </c>
      <c r="K61" s="18">
        <f>Table1[[#This Row],[Sales]]*14%</f>
        <v>529.20000000000005</v>
      </c>
    </row>
    <row r="62" spans="2:11" ht="15" thickBot="1" x14ac:dyDescent="0.35">
      <c r="B62" s="16" t="s">
        <v>119</v>
      </c>
      <c r="C62" s="8">
        <v>46164</v>
      </c>
      <c r="D62" s="3" t="s">
        <v>120</v>
      </c>
      <c r="E62" s="3" t="s">
        <v>43</v>
      </c>
      <c r="F62" s="3" t="s">
        <v>63</v>
      </c>
      <c r="G62" s="3" t="s">
        <v>60</v>
      </c>
      <c r="H62" s="3">
        <v>5</v>
      </c>
      <c r="I62" s="5">
        <v>10450</v>
      </c>
      <c r="J62" s="5">
        <f>Table1[[#This Row],[Quantity]]*Table1[[#This Row],[Price]]</f>
        <v>52250</v>
      </c>
      <c r="K62" s="18">
        <f>Table1[[#This Row],[Sales]]*14%</f>
        <v>7315.0000000000009</v>
      </c>
    </row>
    <row r="63" spans="2:11" ht="15" thickBot="1" x14ac:dyDescent="0.35">
      <c r="B63" s="16" t="s">
        <v>121</v>
      </c>
      <c r="C63" s="8">
        <v>46050</v>
      </c>
      <c r="D63" s="3" t="s">
        <v>120</v>
      </c>
      <c r="E63" s="3" t="s">
        <v>43</v>
      </c>
      <c r="F63" s="3" t="s">
        <v>37</v>
      </c>
      <c r="G63" s="3" t="s">
        <v>14</v>
      </c>
      <c r="H63" s="3">
        <v>1</v>
      </c>
      <c r="I63" s="5">
        <v>2200</v>
      </c>
      <c r="J63" s="5">
        <f>Table1[[#This Row],[Quantity]]*Table1[[#This Row],[Price]]</f>
        <v>2200</v>
      </c>
      <c r="K63" s="18">
        <f>Table1[[#This Row],[Sales]]*14%</f>
        <v>308.00000000000006</v>
      </c>
    </row>
    <row r="64" spans="2:11" ht="15" thickBot="1" x14ac:dyDescent="0.35">
      <c r="B64" s="16" t="s">
        <v>122</v>
      </c>
      <c r="C64" s="8">
        <v>46076</v>
      </c>
      <c r="D64" s="3" t="s">
        <v>16</v>
      </c>
      <c r="E64" s="3" t="s">
        <v>17</v>
      </c>
      <c r="F64" s="3" t="s">
        <v>59</v>
      </c>
      <c r="G64" s="3" t="s">
        <v>60</v>
      </c>
      <c r="H64" s="3">
        <v>2</v>
      </c>
      <c r="I64" s="5">
        <v>8500</v>
      </c>
      <c r="J64" s="5">
        <f>Table1[[#This Row],[Quantity]]*Table1[[#This Row],[Price]]</f>
        <v>17000</v>
      </c>
      <c r="K64" s="18">
        <f>Table1[[#This Row],[Sales]]*14%</f>
        <v>2380</v>
      </c>
    </row>
    <row r="65" spans="2:11" ht="15" thickBot="1" x14ac:dyDescent="0.35">
      <c r="B65" s="16" t="s">
        <v>123</v>
      </c>
      <c r="C65" s="8">
        <v>46087</v>
      </c>
      <c r="D65" s="3" t="s">
        <v>124</v>
      </c>
      <c r="E65" s="3" t="s">
        <v>83</v>
      </c>
      <c r="F65" s="3" t="s">
        <v>31</v>
      </c>
      <c r="G65" s="3" t="s">
        <v>32</v>
      </c>
      <c r="H65" s="3">
        <v>2</v>
      </c>
      <c r="I65" s="5">
        <v>900</v>
      </c>
      <c r="J65" s="5">
        <f>Table1[[#This Row],[Quantity]]*Table1[[#This Row],[Price]]</f>
        <v>1800</v>
      </c>
      <c r="K65" s="18">
        <f>Table1[[#This Row],[Sales]]*14%</f>
        <v>252.00000000000003</v>
      </c>
    </row>
    <row r="66" spans="2:11" ht="15" thickBot="1" x14ac:dyDescent="0.35">
      <c r="B66" s="16" t="s">
        <v>125</v>
      </c>
      <c r="C66" s="8">
        <v>46093</v>
      </c>
      <c r="D66" s="3" t="s">
        <v>62</v>
      </c>
      <c r="E66" s="3" t="s">
        <v>40</v>
      </c>
      <c r="F66" s="3" t="s">
        <v>37</v>
      </c>
      <c r="G66" s="3" t="s">
        <v>14</v>
      </c>
      <c r="H66" s="3">
        <v>1</v>
      </c>
      <c r="I66" s="5">
        <v>2090</v>
      </c>
      <c r="J66" s="5">
        <f>Table1[[#This Row],[Quantity]]*Table1[[#This Row],[Price]]</f>
        <v>2090</v>
      </c>
      <c r="K66" s="18">
        <f>Table1[[#This Row],[Sales]]*14%</f>
        <v>292.60000000000002</v>
      </c>
    </row>
    <row r="67" spans="2:11" ht="15" thickBot="1" x14ac:dyDescent="0.35">
      <c r="B67" s="16" t="s">
        <v>126</v>
      </c>
      <c r="C67" s="8">
        <v>46090</v>
      </c>
      <c r="D67" s="3" t="s">
        <v>108</v>
      </c>
      <c r="E67" s="3" t="s">
        <v>83</v>
      </c>
      <c r="F67" s="3" t="s">
        <v>102</v>
      </c>
      <c r="G67" s="3" t="s">
        <v>14</v>
      </c>
      <c r="H67" s="3">
        <v>3</v>
      </c>
      <c r="I67" s="5">
        <v>55000</v>
      </c>
      <c r="J67" s="5">
        <f>Table1[[#This Row],[Quantity]]*Table1[[#This Row],[Price]]</f>
        <v>165000</v>
      </c>
      <c r="K67" s="18">
        <f>Table1[[#This Row],[Sales]]*14%</f>
        <v>23100.000000000004</v>
      </c>
    </row>
    <row r="68" spans="2:11" ht="15" thickBot="1" x14ac:dyDescent="0.35">
      <c r="B68" s="16" t="s">
        <v>127</v>
      </c>
      <c r="C68" s="8">
        <v>46051</v>
      </c>
      <c r="D68" s="3" t="s">
        <v>82</v>
      </c>
      <c r="E68" s="3" t="s">
        <v>83</v>
      </c>
      <c r="F68" s="3" t="s">
        <v>50</v>
      </c>
      <c r="G68" s="3" t="s">
        <v>26</v>
      </c>
      <c r="H68" s="3">
        <v>4</v>
      </c>
      <c r="I68" s="5">
        <v>262.5</v>
      </c>
      <c r="J68" s="5">
        <f>Table1[[#This Row],[Quantity]]*Table1[[#This Row],[Price]]</f>
        <v>1050</v>
      </c>
      <c r="K68" s="18">
        <f>Table1[[#This Row],[Sales]]*14%</f>
        <v>147</v>
      </c>
    </row>
    <row r="69" spans="2:11" ht="15" thickBot="1" x14ac:dyDescent="0.35">
      <c r="B69" s="16" t="s">
        <v>128</v>
      </c>
      <c r="C69" s="8">
        <v>46172</v>
      </c>
      <c r="D69" s="3" t="s">
        <v>87</v>
      </c>
      <c r="E69" s="3" t="s">
        <v>12</v>
      </c>
      <c r="F69" s="3" t="s">
        <v>37</v>
      </c>
      <c r="G69" s="3" t="s">
        <v>14</v>
      </c>
      <c r="H69" s="3">
        <v>2</v>
      </c>
      <c r="I69" s="5">
        <v>2090</v>
      </c>
      <c r="J69" s="5">
        <f>Table1[[#This Row],[Quantity]]*Table1[[#This Row],[Price]]</f>
        <v>4180</v>
      </c>
      <c r="K69" s="18">
        <f>Table1[[#This Row],[Sales]]*14%</f>
        <v>585.20000000000005</v>
      </c>
    </row>
    <row r="70" spans="2:11" ht="15" thickBot="1" x14ac:dyDescent="0.35">
      <c r="B70" s="16" t="s">
        <v>129</v>
      </c>
      <c r="C70" s="8">
        <v>46116</v>
      </c>
      <c r="D70" s="3" t="s">
        <v>21</v>
      </c>
      <c r="E70" s="3" t="s">
        <v>17</v>
      </c>
      <c r="F70" s="3" t="s">
        <v>28</v>
      </c>
      <c r="G70" s="3" t="s">
        <v>14</v>
      </c>
      <c r="H70" s="3">
        <v>4</v>
      </c>
      <c r="I70" s="5">
        <v>22000</v>
      </c>
      <c r="J70" s="5">
        <f>Table1[[#This Row],[Quantity]]*Table1[[#This Row],[Price]]</f>
        <v>88000</v>
      </c>
      <c r="K70" s="18">
        <f>Table1[[#This Row],[Sales]]*14%</f>
        <v>12320.000000000002</v>
      </c>
    </row>
    <row r="71" spans="2:11" ht="15" thickBot="1" x14ac:dyDescent="0.35">
      <c r="B71" s="16" t="s">
        <v>130</v>
      </c>
      <c r="C71" s="8">
        <v>46086</v>
      </c>
      <c r="D71" s="3" t="s">
        <v>62</v>
      </c>
      <c r="E71" s="3" t="s">
        <v>40</v>
      </c>
      <c r="F71" s="3" t="s">
        <v>37</v>
      </c>
      <c r="G71" s="3" t="s">
        <v>14</v>
      </c>
      <c r="H71" s="3">
        <v>1</v>
      </c>
      <c r="I71" s="5">
        <v>2200</v>
      </c>
      <c r="J71" s="5">
        <f>Table1[[#This Row],[Quantity]]*Table1[[#This Row],[Price]]</f>
        <v>2200</v>
      </c>
      <c r="K71" s="18">
        <f>Table1[[#This Row],[Sales]]*14%</f>
        <v>308.00000000000006</v>
      </c>
    </row>
    <row r="72" spans="2:11" ht="15" thickBot="1" x14ac:dyDescent="0.35">
      <c r="B72" s="16" t="s">
        <v>131</v>
      </c>
      <c r="C72" s="8">
        <v>46062</v>
      </c>
      <c r="D72" s="3" t="s">
        <v>39</v>
      </c>
      <c r="E72" s="3" t="s">
        <v>40</v>
      </c>
      <c r="F72" s="3" t="s">
        <v>13</v>
      </c>
      <c r="G72" s="3" t="s">
        <v>14</v>
      </c>
      <c r="H72" s="3">
        <v>3</v>
      </c>
      <c r="I72" s="5">
        <v>29400</v>
      </c>
      <c r="J72" s="5">
        <f>Table1[[#This Row],[Quantity]]*Table1[[#This Row],[Price]]</f>
        <v>88200</v>
      </c>
      <c r="K72" s="18">
        <f>Table1[[#This Row],[Sales]]*14%</f>
        <v>12348.000000000002</v>
      </c>
    </row>
    <row r="73" spans="2:11" ht="15" thickBot="1" x14ac:dyDescent="0.35">
      <c r="B73" s="16" t="s">
        <v>132</v>
      </c>
      <c r="C73" s="8">
        <v>46068</v>
      </c>
      <c r="D73" s="3" t="s">
        <v>52</v>
      </c>
      <c r="E73" s="3" t="s">
        <v>12</v>
      </c>
      <c r="F73" s="3" t="s">
        <v>37</v>
      </c>
      <c r="G73" s="3" t="s">
        <v>14</v>
      </c>
      <c r="H73" s="3">
        <v>2</v>
      </c>
      <c r="I73" s="5">
        <v>2200</v>
      </c>
      <c r="J73" s="5">
        <f>Table1[[#This Row],[Quantity]]*Table1[[#This Row],[Price]]</f>
        <v>4400</v>
      </c>
      <c r="K73" s="18">
        <f>Table1[[#This Row],[Sales]]*14%</f>
        <v>616.00000000000011</v>
      </c>
    </row>
    <row r="74" spans="2:11" ht="15" thickBot="1" x14ac:dyDescent="0.35">
      <c r="B74" s="16" t="s">
        <v>133</v>
      </c>
      <c r="C74" s="8">
        <v>46108</v>
      </c>
      <c r="D74" s="3" t="s">
        <v>62</v>
      </c>
      <c r="E74" s="3" t="s">
        <v>40</v>
      </c>
      <c r="F74" s="3" t="s">
        <v>94</v>
      </c>
      <c r="G74" s="3" t="s">
        <v>32</v>
      </c>
      <c r="H74" s="3">
        <v>1</v>
      </c>
      <c r="I74" s="5">
        <v>2500</v>
      </c>
      <c r="J74" s="5">
        <f>Table1[[#This Row],[Quantity]]*Table1[[#This Row],[Price]]</f>
        <v>2500</v>
      </c>
      <c r="K74" s="18">
        <f>Table1[[#This Row],[Sales]]*14%</f>
        <v>350.00000000000006</v>
      </c>
    </row>
    <row r="75" spans="2:11" ht="15" thickBot="1" x14ac:dyDescent="0.35">
      <c r="B75" s="16" t="s">
        <v>134</v>
      </c>
      <c r="C75" s="8">
        <v>46202</v>
      </c>
      <c r="D75" s="3" t="s">
        <v>93</v>
      </c>
      <c r="E75" s="3" t="s">
        <v>43</v>
      </c>
      <c r="F75" s="3" t="s">
        <v>37</v>
      </c>
      <c r="G75" s="3" t="s">
        <v>14</v>
      </c>
      <c r="H75" s="3">
        <v>4</v>
      </c>
      <c r="I75" s="5">
        <v>2200</v>
      </c>
      <c r="J75" s="5">
        <f>Table1[[#This Row],[Quantity]]*Table1[[#This Row],[Price]]</f>
        <v>8800</v>
      </c>
      <c r="K75" s="18">
        <f>Table1[[#This Row],[Sales]]*14%</f>
        <v>1232.0000000000002</v>
      </c>
    </row>
    <row r="76" spans="2:11" ht="15" thickBot="1" x14ac:dyDescent="0.35">
      <c r="B76" s="16" t="s">
        <v>135</v>
      </c>
      <c r="C76" s="8">
        <v>46140</v>
      </c>
      <c r="D76" s="3" t="s">
        <v>30</v>
      </c>
      <c r="E76" s="3" t="s">
        <v>17</v>
      </c>
      <c r="F76" s="3" t="s">
        <v>94</v>
      </c>
      <c r="G76" s="3" t="s">
        <v>32</v>
      </c>
      <c r="H76" s="3">
        <v>1</v>
      </c>
      <c r="I76" s="5">
        <v>2625</v>
      </c>
      <c r="J76" s="5">
        <f>Table1[[#This Row],[Quantity]]*Table1[[#This Row],[Price]]</f>
        <v>2625</v>
      </c>
      <c r="K76" s="18">
        <f>Table1[[#This Row],[Sales]]*14%</f>
        <v>367.50000000000006</v>
      </c>
    </row>
    <row r="77" spans="2:11" ht="15" thickBot="1" x14ac:dyDescent="0.35">
      <c r="B77" s="16" t="s">
        <v>136</v>
      </c>
      <c r="C77" s="8">
        <v>46072</v>
      </c>
      <c r="D77" s="3" t="s">
        <v>96</v>
      </c>
      <c r="E77" s="3" t="s">
        <v>83</v>
      </c>
      <c r="F77" s="3" t="s">
        <v>44</v>
      </c>
      <c r="G77" s="3" t="s">
        <v>32</v>
      </c>
      <c r="H77" s="3">
        <v>2</v>
      </c>
      <c r="I77" s="5">
        <v>1800</v>
      </c>
      <c r="J77" s="5">
        <f>Table1[[#This Row],[Quantity]]*Table1[[#This Row],[Price]]</f>
        <v>3600</v>
      </c>
      <c r="K77" s="18">
        <f>Table1[[#This Row],[Sales]]*14%</f>
        <v>504.00000000000006</v>
      </c>
    </row>
    <row r="78" spans="2:11" ht="15" thickBot="1" x14ac:dyDescent="0.35">
      <c r="B78" s="16" t="s">
        <v>137</v>
      </c>
      <c r="C78" s="8">
        <v>46094</v>
      </c>
      <c r="D78" s="3" t="s">
        <v>42</v>
      </c>
      <c r="E78" s="3" t="s">
        <v>43</v>
      </c>
      <c r="F78" s="3" t="s">
        <v>31</v>
      </c>
      <c r="G78" s="3" t="s">
        <v>32</v>
      </c>
      <c r="H78" s="3">
        <v>3</v>
      </c>
      <c r="I78" s="5">
        <v>855</v>
      </c>
      <c r="J78" s="5">
        <f>Table1[[#This Row],[Quantity]]*Table1[[#This Row],[Price]]</f>
        <v>2565</v>
      </c>
      <c r="K78" s="18">
        <f>Table1[[#This Row],[Sales]]*14%</f>
        <v>359.1</v>
      </c>
    </row>
    <row r="79" spans="2:11" ht="15" thickBot="1" x14ac:dyDescent="0.35">
      <c r="B79" s="16" t="s">
        <v>138</v>
      </c>
      <c r="C79" s="8">
        <v>46160</v>
      </c>
      <c r="D79" s="3" t="s">
        <v>96</v>
      </c>
      <c r="E79" s="3" t="s">
        <v>83</v>
      </c>
      <c r="F79" s="3" t="s">
        <v>47</v>
      </c>
      <c r="G79" s="3" t="s">
        <v>48</v>
      </c>
      <c r="H79" s="3">
        <v>5</v>
      </c>
      <c r="I79" s="5">
        <v>1890</v>
      </c>
      <c r="J79" s="5">
        <f>Table1[[#This Row],[Quantity]]*Table1[[#This Row],[Price]]</f>
        <v>9450</v>
      </c>
      <c r="K79" s="18">
        <f>Table1[[#This Row],[Sales]]*14%</f>
        <v>1323.0000000000002</v>
      </c>
    </row>
    <row r="80" spans="2:11" ht="15" thickBot="1" x14ac:dyDescent="0.35">
      <c r="B80" s="16" t="s">
        <v>139</v>
      </c>
      <c r="C80" s="8">
        <v>46090</v>
      </c>
      <c r="D80" s="3" t="s">
        <v>140</v>
      </c>
      <c r="E80" s="3" t="s">
        <v>40</v>
      </c>
      <c r="F80" s="3" t="s">
        <v>102</v>
      </c>
      <c r="G80" s="3" t="s">
        <v>14</v>
      </c>
      <c r="H80" s="3">
        <v>1</v>
      </c>
      <c r="I80" s="5">
        <v>55000</v>
      </c>
      <c r="J80" s="5">
        <f>Table1[[#This Row],[Quantity]]*Table1[[#This Row],[Price]]</f>
        <v>55000</v>
      </c>
      <c r="K80" s="18">
        <f>Table1[[#This Row],[Sales]]*14%</f>
        <v>7700.0000000000009</v>
      </c>
    </row>
    <row r="81" spans="2:11" ht="15" thickBot="1" x14ac:dyDescent="0.35">
      <c r="B81" s="16" t="s">
        <v>141</v>
      </c>
      <c r="C81" s="8">
        <v>46103</v>
      </c>
      <c r="D81" s="3" t="s">
        <v>108</v>
      </c>
      <c r="E81" s="3" t="s">
        <v>83</v>
      </c>
      <c r="F81" s="3" t="s">
        <v>13</v>
      </c>
      <c r="G81" s="3" t="s">
        <v>14</v>
      </c>
      <c r="H81" s="3">
        <v>5</v>
      </c>
      <c r="I81" s="5">
        <v>29400</v>
      </c>
      <c r="J81" s="5">
        <f>Table1[[#This Row],[Quantity]]*Table1[[#This Row],[Price]]</f>
        <v>147000</v>
      </c>
      <c r="K81" s="18">
        <f>Table1[[#This Row],[Sales]]*14%</f>
        <v>20580.000000000004</v>
      </c>
    </row>
    <row r="82" spans="2:11" ht="15" thickBot="1" x14ac:dyDescent="0.35">
      <c r="B82" s="16" t="s">
        <v>142</v>
      </c>
      <c r="C82" s="8">
        <v>46170</v>
      </c>
      <c r="D82" s="3" t="s">
        <v>143</v>
      </c>
      <c r="E82" s="3" t="s">
        <v>40</v>
      </c>
      <c r="F82" s="3" t="s">
        <v>63</v>
      </c>
      <c r="G82" s="3" t="s">
        <v>60</v>
      </c>
      <c r="H82" s="3">
        <v>5</v>
      </c>
      <c r="I82" s="5">
        <v>10450</v>
      </c>
      <c r="J82" s="5">
        <f>Table1[[#This Row],[Quantity]]*Table1[[#This Row],[Price]]</f>
        <v>52250</v>
      </c>
      <c r="K82" s="18">
        <f>Table1[[#This Row],[Sales]]*14%</f>
        <v>7315.0000000000009</v>
      </c>
    </row>
    <row r="83" spans="2:11" ht="15" thickBot="1" x14ac:dyDescent="0.35">
      <c r="B83" s="16" t="s">
        <v>144</v>
      </c>
      <c r="C83" s="8">
        <v>46160</v>
      </c>
      <c r="D83" s="3" t="s">
        <v>46</v>
      </c>
      <c r="E83" s="3" t="s">
        <v>36</v>
      </c>
      <c r="F83" s="3" t="s">
        <v>44</v>
      </c>
      <c r="G83" s="3" t="s">
        <v>32</v>
      </c>
      <c r="H83" s="3">
        <v>1</v>
      </c>
      <c r="I83" s="5">
        <v>1890</v>
      </c>
      <c r="J83" s="5">
        <f>Table1[[#This Row],[Quantity]]*Table1[[#This Row],[Price]]</f>
        <v>1890</v>
      </c>
      <c r="K83" s="18">
        <f>Table1[[#This Row],[Sales]]*14%</f>
        <v>264.60000000000002</v>
      </c>
    </row>
    <row r="84" spans="2:11" ht="15" thickBot="1" x14ac:dyDescent="0.35">
      <c r="B84" s="16" t="s">
        <v>145</v>
      </c>
      <c r="C84" s="8">
        <v>46193</v>
      </c>
      <c r="D84" s="3" t="s">
        <v>39</v>
      </c>
      <c r="E84" s="3" t="s">
        <v>40</v>
      </c>
      <c r="F84" s="3" t="s">
        <v>50</v>
      </c>
      <c r="G84" s="3" t="s">
        <v>26</v>
      </c>
      <c r="H84" s="3">
        <v>2</v>
      </c>
      <c r="I84" s="5">
        <v>250</v>
      </c>
      <c r="J84" s="5">
        <f>Table1[[#This Row],[Quantity]]*Table1[[#This Row],[Price]]</f>
        <v>500</v>
      </c>
      <c r="K84" s="18">
        <f>Table1[[#This Row],[Sales]]*14%</f>
        <v>70</v>
      </c>
    </row>
    <row r="85" spans="2:11" ht="15" thickBot="1" x14ac:dyDescent="0.35">
      <c r="B85" s="16" t="s">
        <v>146</v>
      </c>
      <c r="C85" s="8">
        <v>46054</v>
      </c>
      <c r="D85" s="3" t="s">
        <v>52</v>
      </c>
      <c r="E85" s="3" t="s">
        <v>12</v>
      </c>
      <c r="F85" s="3" t="s">
        <v>31</v>
      </c>
      <c r="G85" s="3" t="s">
        <v>32</v>
      </c>
      <c r="H85" s="3">
        <v>5</v>
      </c>
      <c r="I85" s="5">
        <v>900</v>
      </c>
      <c r="J85" s="5">
        <f>Table1[[#This Row],[Quantity]]*Table1[[#This Row],[Price]]</f>
        <v>4500</v>
      </c>
      <c r="K85" s="18">
        <f>Table1[[#This Row],[Sales]]*14%</f>
        <v>630.00000000000011</v>
      </c>
    </row>
    <row r="86" spans="2:11" ht="15" thickBot="1" x14ac:dyDescent="0.35">
      <c r="B86" s="16" t="s">
        <v>147</v>
      </c>
      <c r="C86" s="8">
        <v>46106</v>
      </c>
      <c r="D86" s="3" t="s">
        <v>16</v>
      </c>
      <c r="E86" s="3" t="s">
        <v>17</v>
      </c>
      <c r="F86" s="3" t="s">
        <v>37</v>
      </c>
      <c r="G86" s="3" t="s">
        <v>14</v>
      </c>
      <c r="H86" s="3">
        <v>3</v>
      </c>
      <c r="I86" s="5">
        <v>2200</v>
      </c>
      <c r="J86" s="5">
        <f>Table1[[#This Row],[Quantity]]*Table1[[#This Row],[Price]]</f>
        <v>6600</v>
      </c>
      <c r="K86" s="18">
        <f>Table1[[#This Row],[Sales]]*14%</f>
        <v>924.00000000000011</v>
      </c>
    </row>
    <row r="87" spans="2:11" ht="15" thickBot="1" x14ac:dyDescent="0.35">
      <c r="B87" s="16" t="s">
        <v>148</v>
      </c>
      <c r="C87" s="8">
        <v>46193</v>
      </c>
      <c r="D87" s="3" t="s">
        <v>42</v>
      </c>
      <c r="E87" s="3" t="s">
        <v>43</v>
      </c>
      <c r="F87" s="3" t="s">
        <v>50</v>
      </c>
      <c r="G87" s="3" t="s">
        <v>26</v>
      </c>
      <c r="H87" s="3">
        <v>3</v>
      </c>
      <c r="I87" s="5">
        <v>250</v>
      </c>
      <c r="J87" s="5">
        <f>Table1[[#This Row],[Quantity]]*Table1[[#This Row],[Price]]</f>
        <v>750</v>
      </c>
      <c r="K87" s="18">
        <f>Table1[[#This Row],[Sales]]*14%</f>
        <v>105.00000000000001</v>
      </c>
    </row>
    <row r="88" spans="2:11" ht="15" thickBot="1" x14ac:dyDescent="0.35">
      <c r="B88" s="16" t="s">
        <v>149</v>
      </c>
      <c r="C88" s="8">
        <v>46023</v>
      </c>
      <c r="D88" s="3" t="s">
        <v>42</v>
      </c>
      <c r="E88" s="3" t="s">
        <v>43</v>
      </c>
      <c r="F88" s="3" t="s">
        <v>47</v>
      </c>
      <c r="G88" s="3" t="s">
        <v>48</v>
      </c>
      <c r="H88" s="3">
        <v>2</v>
      </c>
      <c r="I88" s="5">
        <v>1800</v>
      </c>
      <c r="J88" s="5">
        <f>Table1[[#This Row],[Quantity]]*Table1[[#This Row],[Price]]</f>
        <v>3600</v>
      </c>
      <c r="K88" s="18">
        <f>Table1[[#This Row],[Sales]]*14%</f>
        <v>504.00000000000006</v>
      </c>
    </row>
    <row r="89" spans="2:11" ht="15" thickBot="1" x14ac:dyDescent="0.35">
      <c r="B89" s="16" t="s">
        <v>150</v>
      </c>
      <c r="C89" s="8">
        <v>46178</v>
      </c>
      <c r="D89" s="3" t="s">
        <v>120</v>
      </c>
      <c r="E89" s="3" t="s">
        <v>43</v>
      </c>
      <c r="F89" s="3" t="s">
        <v>44</v>
      </c>
      <c r="G89" s="3" t="s">
        <v>32</v>
      </c>
      <c r="H89" s="3">
        <v>2</v>
      </c>
      <c r="I89" s="5">
        <v>1890</v>
      </c>
      <c r="J89" s="5">
        <f>Table1[[#This Row],[Quantity]]*Table1[[#This Row],[Price]]</f>
        <v>3780</v>
      </c>
      <c r="K89" s="18">
        <f>Table1[[#This Row],[Sales]]*14%</f>
        <v>529.20000000000005</v>
      </c>
    </row>
    <row r="90" spans="2:11" ht="15" thickBot="1" x14ac:dyDescent="0.35">
      <c r="B90" s="16" t="s">
        <v>151</v>
      </c>
      <c r="C90" s="8">
        <v>46077</v>
      </c>
      <c r="D90" s="3" t="s">
        <v>11</v>
      </c>
      <c r="E90" s="3" t="s">
        <v>12</v>
      </c>
      <c r="F90" s="3" t="s">
        <v>31</v>
      </c>
      <c r="G90" s="3" t="s">
        <v>32</v>
      </c>
      <c r="H90" s="3">
        <v>4</v>
      </c>
      <c r="I90" s="5">
        <v>945</v>
      </c>
      <c r="J90" s="5">
        <f>Table1[[#This Row],[Quantity]]*Table1[[#This Row],[Price]]</f>
        <v>3780</v>
      </c>
      <c r="K90" s="18">
        <f>Table1[[#This Row],[Sales]]*14%</f>
        <v>529.20000000000005</v>
      </c>
    </row>
    <row r="91" spans="2:11" ht="15" thickBot="1" x14ac:dyDescent="0.35">
      <c r="B91" s="16" t="s">
        <v>152</v>
      </c>
      <c r="C91" s="8">
        <v>46192</v>
      </c>
      <c r="D91" s="3" t="s">
        <v>65</v>
      </c>
      <c r="E91" s="3" t="s">
        <v>12</v>
      </c>
      <c r="F91" s="3" t="s">
        <v>66</v>
      </c>
      <c r="G91" s="3" t="s">
        <v>67</v>
      </c>
      <c r="H91" s="3">
        <v>2</v>
      </c>
      <c r="I91" s="5">
        <v>11400</v>
      </c>
      <c r="J91" s="5">
        <f>Table1[[#This Row],[Quantity]]*Table1[[#This Row],[Price]]</f>
        <v>22800</v>
      </c>
      <c r="K91" s="18">
        <f>Table1[[#This Row],[Sales]]*14%</f>
        <v>3192.0000000000005</v>
      </c>
    </row>
    <row r="92" spans="2:11" ht="15" thickBot="1" x14ac:dyDescent="0.35">
      <c r="B92" s="16" t="s">
        <v>153</v>
      </c>
      <c r="C92" s="8">
        <v>46083</v>
      </c>
      <c r="D92" s="3" t="s">
        <v>11</v>
      </c>
      <c r="E92" s="3" t="s">
        <v>12</v>
      </c>
      <c r="F92" s="3" t="s">
        <v>63</v>
      </c>
      <c r="G92" s="3" t="s">
        <v>60</v>
      </c>
      <c r="H92" s="3">
        <v>3</v>
      </c>
      <c r="I92" s="5">
        <v>10450</v>
      </c>
      <c r="J92" s="5">
        <f>Table1[[#This Row],[Quantity]]*Table1[[#This Row],[Price]]</f>
        <v>31350</v>
      </c>
      <c r="K92" s="18">
        <f>Table1[[#This Row],[Sales]]*14%</f>
        <v>4389</v>
      </c>
    </row>
    <row r="93" spans="2:11" ht="15" thickBot="1" x14ac:dyDescent="0.35">
      <c r="B93" s="16" t="s">
        <v>154</v>
      </c>
      <c r="C93" s="8">
        <v>46034</v>
      </c>
      <c r="D93" s="3" t="s">
        <v>39</v>
      </c>
      <c r="E93" s="3" t="s">
        <v>40</v>
      </c>
      <c r="F93" s="3" t="s">
        <v>44</v>
      </c>
      <c r="G93" s="3" t="s">
        <v>32</v>
      </c>
      <c r="H93" s="3">
        <v>2</v>
      </c>
      <c r="I93" s="5">
        <v>1800</v>
      </c>
      <c r="J93" s="5">
        <f>Table1[[#This Row],[Quantity]]*Table1[[#This Row],[Price]]</f>
        <v>3600</v>
      </c>
      <c r="K93" s="18">
        <f>Table1[[#This Row],[Sales]]*14%</f>
        <v>504.00000000000006</v>
      </c>
    </row>
    <row r="94" spans="2:11" ht="15" thickBot="1" x14ac:dyDescent="0.35">
      <c r="B94" s="16" t="s">
        <v>155</v>
      </c>
      <c r="C94" s="8">
        <v>46184</v>
      </c>
      <c r="D94" s="3" t="s">
        <v>54</v>
      </c>
      <c r="E94" s="3" t="s">
        <v>17</v>
      </c>
      <c r="F94" s="3" t="s">
        <v>66</v>
      </c>
      <c r="G94" s="3" t="s">
        <v>67</v>
      </c>
      <c r="H94" s="3">
        <v>5</v>
      </c>
      <c r="I94" s="5">
        <v>11400</v>
      </c>
      <c r="J94" s="5">
        <f>Table1[[#This Row],[Quantity]]*Table1[[#This Row],[Price]]</f>
        <v>57000</v>
      </c>
      <c r="K94" s="18">
        <f>Table1[[#This Row],[Sales]]*14%</f>
        <v>7980.0000000000009</v>
      </c>
    </row>
    <row r="95" spans="2:11" ht="15" thickBot="1" x14ac:dyDescent="0.35">
      <c r="B95" s="16" t="s">
        <v>156</v>
      </c>
      <c r="C95" s="8">
        <v>46060</v>
      </c>
      <c r="D95" s="3" t="s">
        <v>157</v>
      </c>
      <c r="E95" s="3" t="s">
        <v>43</v>
      </c>
      <c r="F95" s="3" t="s">
        <v>22</v>
      </c>
      <c r="G95" s="3" t="s">
        <v>14</v>
      </c>
      <c r="H95" s="3">
        <v>4</v>
      </c>
      <c r="I95" s="5">
        <v>15750</v>
      </c>
      <c r="J95" s="5">
        <f>Table1[[#This Row],[Quantity]]*Table1[[#This Row],[Price]]</f>
        <v>63000</v>
      </c>
      <c r="K95" s="18">
        <f>Table1[[#This Row],[Sales]]*14%</f>
        <v>8820</v>
      </c>
    </row>
    <row r="96" spans="2:11" ht="15" thickBot="1" x14ac:dyDescent="0.35">
      <c r="B96" s="16" t="s">
        <v>158</v>
      </c>
      <c r="C96" s="8">
        <v>46079</v>
      </c>
      <c r="D96" s="3" t="s">
        <v>11</v>
      </c>
      <c r="E96" s="3" t="s">
        <v>12</v>
      </c>
      <c r="F96" s="3" t="s">
        <v>50</v>
      </c>
      <c r="G96" s="3" t="s">
        <v>26</v>
      </c>
      <c r="H96" s="3">
        <v>1</v>
      </c>
      <c r="I96" s="5">
        <v>237.5</v>
      </c>
      <c r="J96" s="5">
        <f>Table1[[#This Row],[Quantity]]*Table1[[#This Row],[Price]]</f>
        <v>237.5</v>
      </c>
      <c r="K96" s="18">
        <f>Table1[[#This Row],[Sales]]*14%</f>
        <v>33.25</v>
      </c>
    </row>
    <row r="97" spans="2:11" ht="15" thickBot="1" x14ac:dyDescent="0.35">
      <c r="B97" s="16" t="s">
        <v>159</v>
      </c>
      <c r="C97" s="8">
        <v>46086</v>
      </c>
      <c r="D97" s="3" t="s">
        <v>82</v>
      </c>
      <c r="E97" s="3" t="s">
        <v>83</v>
      </c>
      <c r="F97" s="3" t="s">
        <v>25</v>
      </c>
      <c r="G97" s="3" t="s">
        <v>26</v>
      </c>
      <c r="H97" s="3">
        <v>5</v>
      </c>
      <c r="I97" s="5">
        <v>367.5</v>
      </c>
      <c r="J97" s="5">
        <f>Table1[[#This Row],[Quantity]]*Table1[[#This Row],[Price]]</f>
        <v>1837.5</v>
      </c>
      <c r="K97" s="18">
        <f>Table1[[#This Row],[Sales]]*14%</f>
        <v>257.25</v>
      </c>
    </row>
    <row r="98" spans="2:11" ht="15" thickBot="1" x14ac:dyDescent="0.35">
      <c r="B98" s="16" t="s">
        <v>160</v>
      </c>
      <c r="C98" s="8">
        <v>46141</v>
      </c>
      <c r="D98" s="3" t="s">
        <v>52</v>
      </c>
      <c r="E98" s="3" t="s">
        <v>12</v>
      </c>
      <c r="F98" s="3" t="s">
        <v>55</v>
      </c>
      <c r="G98" s="3" t="s">
        <v>32</v>
      </c>
      <c r="H98" s="3">
        <v>1</v>
      </c>
      <c r="I98" s="5">
        <v>1260</v>
      </c>
      <c r="J98" s="5">
        <f>Table1[[#This Row],[Quantity]]*Table1[[#This Row],[Price]]</f>
        <v>1260</v>
      </c>
      <c r="K98" s="18">
        <f>Table1[[#This Row],[Sales]]*14%</f>
        <v>176.4</v>
      </c>
    </row>
    <row r="99" spans="2:11" ht="15" thickBot="1" x14ac:dyDescent="0.35">
      <c r="B99" s="16" t="s">
        <v>161</v>
      </c>
      <c r="C99" s="8">
        <v>46136</v>
      </c>
      <c r="D99" s="3" t="s">
        <v>39</v>
      </c>
      <c r="E99" s="3" t="s">
        <v>40</v>
      </c>
      <c r="F99" s="3" t="s">
        <v>59</v>
      </c>
      <c r="G99" s="3" t="s">
        <v>60</v>
      </c>
      <c r="H99" s="3">
        <v>5</v>
      </c>
      <c r="I99" s="5">
        <v>8500</v>
      </c>
      <c r="J99" s="5">
        <f>Table1[[#This Row],[Quantity]]*Table1[[#This Row],[Price]]</f>
        <v>42500</v>
      </c>
      <c r="K99" s="18">
        <f>Table1[[#This Row],[Sales]]*14%</f>
        <v>5950.0000000000009</v>
      </c>
    </row>
    <row r="100" spans="2:11" ht="15" thickBot="1" x14ac:dyDescent="0.35">
      <c r="B100" s="16" t="s">
        <v>162</v>
      </c>
      <c r="C100" s="8">
        <v>46163</v>
      </c>
      <c r="D100" s="3" t="s">
        <v>35</v>
      </c>
      <c r="E100" s="3" t="s">
        <v>36</v>
      </c>
      <c r="F100" s="3" t="s">
        <v>55</v>
      </c>
      <c r="G100" s="3" t="s">
        <v>32</v>
      </c>
      <c r="H100" s="3">
        <v>5</v>
      </c>
      <c r="I100" s="5">
        <v>1260</v>
      </c>
      <c r="J100" s="5">
        <f>Table1[[#This Row],[Quantity]]*Table1[[#This Row],[Price]]</f>
        <v>6300</v>
      </c>
      <c r="K100" s="18">
        <f>Table1[[#This Row],[Sales]]*14%</f>
        <v>882.00000000000011</v>
      </c>
    </row>
    <row r="101" spans="2:11" ht="15" thickBot="1" x14ac:dyDescent="0.35">
      <c r="B101" s="16" t="s">
        <v>163</v>
      </c>
      <c r="C101" s="8">
        <v>46086</v>
      </c>
      <c r="D101" s="3" t="s">
        <v>70</v>
      </c>
      <c r="E101" s="3" t="s">
        <v>12</v>
      </c>
      <c r="F101" s="3" t="s">
        <v>37</v>
      </c>
      <c r="G101" s="3" t="s">
        <v>14</v>
      </c>
      <c r="H101" s="3">
        <v>2</v>
      </c>
      <c r="I101" s="5">
        <v>2310</v>
      </c>
      <c r="J101" s="5">
        <f>Table1[[#This Row],[Quantity]]*Table1[[#This Row],[Price]]</f>
        <v>4620</v>
      </c>
      <c r="K101" s="18">
        <f>Table1[[#This Row],[Sales]]*14%</f>
        <v>646.80000000000007</v>
      </c>
    </row>
    <row r="102" spans="2:11" ht="15" thickBot="1" x14ac:dyDescent="0.35">
      <c r="B102" s="16" t="s">
        <v>164</v>
      </c>
      <c r="C102" s="8">
        <v>46093</v>
      </c>
      <c r="D102" s="3" t="s">
        <v>75</v>
      </c>
      <c r="E102" s="3" t="s">
        <v>12</v>
      </c>
      <c r="F102" s="3" t="s">
        <v>47</v>
      </c>
      <c r="G102" s="3" t="s">
        <v>48</v>
      </c>
      <c r="H102" s="3">
        <v>3</v>
      </c>
      <c r="I102" s="5">
        <v>1890</v>
      </c>
      <c r="J102" s="5">
        <f>Table1[[#This Row],[Quantity]]*Table1[[#This Row],[Price]]</f>
        <v>5670</v>
      </c>
      <c r="K102" s="18">
        <f>Table1[[#This Row],[Sales]]*14%</f>
        <v>793.80000000000007</v>
      </c>
    </row>
    <row r="103" spans="2:11" ht="15" thickBot="1" x14ac:dyDescent="0.35">
      <c r="B103" s="16" t="s">
        <v>165</v>
      </c>
      <c r="C103" s="8">
        <v>46104</v>
      </c>
      <c r="D103" s="3" t="s">
        <v>70</v>
      </c>
      <c r="E103" s="3" t="s">
        <v>12</v>
      </c>
      <c r="F103" s="3" t="s">
        <v>13</v>
      </c>
      <c r="G103" s="3" t="s">
        <v>14</v>
      </c>
      <c r="H103" s="3">
        <v>3</v>
      </c>
      <c r="I103" s="5">
        <v>28000</v>
      </c>
      <c r="J103" s="5">
        <f>Table1[[#This Row],[Quantity]]*Table1[[#This Row],[Price]]</f>
        <v>84000</v>
      </c>
      <c r="K103" s="18">
        <f>Table1[[#This Row],[Sales]]*14%</f>
        <v>11760.000000000002</v>
      </c>
    </row>
    <row r="104" spans="2:11" ht="15" thickBot="1" x14ac:dyDescent="0.35">
      <c r="B104" s="16" t="s">
        <v>166</v>
      </c>
      <c r="C104" s="8">
        <v>46121</v>
      </c>
      <c r="D104" s="3" t="s">
        <v>62</v>
      </c>
      <c r="E104" s="3" t="s">
        <v>40</v>
      </c>
      <c r="F104" s="3" t="s">
        <v>59</v>
      </c>
      <c r="G104" s="3" t="s">
        <v>60</v>
      </c>
      <c r="H104" s="3">
        <v>1</v>
      </c>
      <c r="I104" s="5">
        <v>8500</v>
      </c>
      <c r="J104" s="5">
        <f>Table1[[#This Row],[Quantity]]*Table1[[#This Row],[Price]]</f>
        <v>8500</v>
      </c>
      <c r="K104" s="18">
        <f>Table1[[#This Row],[Sales]]*14%</f>
        <v>1190</v>
      </c>
    </row>
    <row r="105" spans="2:11" ht="15" thickBot="1" x14ac:dyDescent="0.35">
      <c r="B105" s="16" t="s">
        <v>167</v>
      </c>
      <c r="C105" s="8">
        <v>46107</v>
      </c>
      <c r="D105" s="3" t="s">
        <v>124</v>
      </c>
      <c r="E105" s="3" t="s">
        <v>83</v>
      </c>
      <c r="F105" s="3" t="s">
        <v>28</v>
      </c>
      <c r="G105" s="3" t="s">
        <v>14</v>
      </c>
      <c r="H105" s="3">
        <v>2</v>
      </c>
      <c r="I105" s="5">
        <v>20900</v>
      </c>
      <c r="J105" s="5">
        <f>Table1[[#This Row],[Quantity]]*Table1[[#This Row],[Price]]</f>
        <v>41800</v>
      </c>
      <c r="K105" s="18">
        <f>Table1[[#This Row],[Sales]]*14%</f>
        <v>5852.0000000000009</v>
      </c>
    </row>
    <row r="106" spans="2:11" ht="15" thickBot="1" x14ac:dyDescent="0.35">
      <c r="B106" s="16" t="s">
        <v>168</v>
      </c>
      <c r="C106" s="8">
        <v>46130</v>
      </c>
      <c r="D106" s="3" t="s">
        <v>21</v>
      </c>
      <c r="E106" s="3" t="s">
        <v>17</v>
      </c>
      <c r="F106" s="3" t="s">
        <v>66</v>
      </c>
      <c r="G106" s="3" t="s">
        <v>67</v>
      </c>
      <c r="H106" s="3">
        <v>4</v>
      </c>
      <c r="I106" s="5">
        <v>11400</v>
      </c>
      <c r="J106" s="5">
        <f>Table1[[#This Row],[Quantity]]*Table1[[#This Row],[Price]]</f>
        <v>45600</v>
      </c>
      <c r="K106" s="18">
        <f>Table1[[#This Row],[Sales]]*14%</f>
        <v>6384.0000000000009</v>
      </c>
    </row>
    <row r="107" spans="2:11" ht="15" thickBot="1" x14ac:dyDescent="0.35">
      <c r="B107" s="16" t="s">
        <v>169</v>
      </c>
      <c r="C107" s="8">
        <v>46170</v>
      </c>
      <c r="D107" s="3" t="s">
        <v>42</v>
      </c>
      <c r="E107" s="3" t="s">
        <v>43</v>
      </c>
      <c r="F107" s="3" t="s">
        <v>37</v>
      </c>
      <c r="G107" s="3" t="s">
        <v>14</v>
      </c>
      <c r="H107" s="3">
        <v>5</v>
      </c>
      <c r="I107" s="5">
        <v>2090</v>
      </c>
      <c r="J107" s="5">
        <f>Table1[[#This Row],[Quantity]]*Table1[[#This Row],[Price]]</f>
        <v>10450</v>
      </c>
      <c r="K107" s="18">
        <f>Table1[[#This Row],[Sales]]*14%</f>
        <v>1463.0000000000002</v>
      </c>
    </row>
    <row r="108" spans="2:11" ht="15" thickBot="1" x14ac:dyDescent="0.35">
      <c r="B108" s="16" t="s">
        <v>170</v>
      </c>
      <c r="C108" s="8">
        <v>46122</v>
      </c>
      <c r="D108" s="3" t="s">
        <v>42</v>
      </c>
      <c r="E108" s="3" t="s">
        <v>43</v>
      </c>
      <c r="F108" s="3" t="s">
        <v>66</v>
      </c>
      <c r="G108" s="3" t="s">
        <v>67</v>
      </c>
      <c r="H108" s="3">
        <v>1</v>
      </c>
      <c r="I108" s="5">
        <v>12000</v>
      </c>
      <c r="J108" s="5">
        <f>Table1[[#This Row],[Quantity]]*Table1[[#This Row],[Price]]</f>
        <v>12000</v>
      </c>
      <c r="K108" s="18">
        <f>Table1[[#This Row],[Sales]]*14%</f>
        <v>1680.0000000000002</v>
      </c>
    </row>
    <row r="109" spans="2:11" ht="15" thickBot="1" x14ac:dyDescent="0.35">
      <c r="B109" s="16" t="s">
        <v>171</v>
      </c>
      <c r="C109" s="8">
        <v>46092</v>
      </c>
      <c r="D109" s="3" t="s">
        <v>90</v>
      </c>
      <c r="E109" s="3" t="s">
        <v>83</v>
      </c>
      <c r="F109" s="3" t="s">
        <v>37</v>
      </c>
      <c r="G109" s="3" t="s">
        <v>14</v>
      </c>
      <c r="H109" s="3">
        <v>4</v>
      </c>
      <c r="I109" s="5">
        <v>2200</v>
      </c>
      <c r="J109" s="5">
        <f>Table1[[#This Row],[Quantity]]*Table1[[#This Row],[Price]]</f>
        <v>8800</v>
      </c>
      <c r="K109" s="18">
        <f>Table1[[#This Row],[Sales]]*14%</f>
        <v>1232.0000000000002</v>
      </c>
    </row>
    <row r="110" spans="2:11" ht="15" thickBot="1" x14ac:dyDescent="0.35">
      <c r="B110" s="16" t="s">
        <v>172</v>
      </c>
      <c r="C110" s="8">
        <v>46196</v>
      </c>
      <c r="D110" s="3" t="s">
        <v>143</v>
      </c>
      <c r="E110" s="3" t="s">
        <v>40</v>
      </c>
      <c r="F110" s="3" t="s">
        <v>66</v>
      </c>
      <c r="G110" s="3" t="s">
        <v>67</v>
      </c>
      <c r="H110" s="3">
        <v>1</v>
      </c>
      <c r="I110" s="5">
        <v>12600</v>
      </c>
      <c r="J110" s="5">
        <f>Table1[[#This Row],[Quantity]]*Table1[[#This Row],[Price]]</f>
        <v>12600</v>
      </c>
      <c r="K110" s="18">
        <f>Table1[[#This Row],[Sales]]*14%</f>
        <v>1764.0000000000002</v>
      </c>
    </row>
    <row r="111" spans="2:11" ht="15" thickBot="1" x14ac:dyDescent="0.35">
      <c r="B111" s="16" t="s">
        <v>173</v>
      </c>
      <c r="C111" s="8">
        <v>46182</v>
      </c>
      <c r="D111" s="3" t="s">
        <v>93</v>
      </c>
      <c r="E111" s="3" t="s">
        <v>43</v>
      </c>
      <c r="F111" s="3" t="s">
        <v>94</v>
      </c>
      <c r="G111" s="3" t="s">
        <v>32</v>
      </c>
      <c r="H111" s="3">
        <v>2</v>
      </c>
      <c r="I111" s="5">
        <v>2625</v>
      </c>
      <c r="J111" s="5">
        <f>Table1[[#This Row],[Quantity]]*Table1[[#This Row],[Price]]</f>
        <v>5250</v>
      </c>
      <c r="K111" s="18">
        <f>Table1[[#This Row],[Sales]]*14%</f>
        <v>735.00000000000011</v>
      </c>
    </row>
    <row r="112" spans="2:11" ht="15" thickBot="1" x14ac:dyDescent="0.35">
      <c r="B112" s="16" t="s">
        <v>174</v>
      </c>
      <c r="C112" s="8">
        <v>46132</v>
      </c>
      <c r="D112" s="3" t="s">
        <v>21</v>
      </c>
      <c r="E112" s="3" t="s">
        <v>17</v>
      </c>
      <c r="F112" s="3" t="s">
        <v>102</v>
      </c>
      <c r="G112" s="3" t="s">
        <v>14</v>
      </c>
      <c r="H112" s="3">
        <v>4</v>
      </c>
      <c r="I112" s="5">
        <v>52250</v>
      </c>
      <c r="J112" s="5">
        <f>Table1[[#This Row],[Quantity]]*Table1[[#This Row],[Price]]</f>
        <v>209000</v>
      </c>
      <c r="K112" s="18">
        <f>Table1[[#This Row],[Sales]]*14%</f>
        <v>29260.000000000004</v>
      </c>
    </row>
    <row r="113" spans="2:11" ht="15" thickBot="1" x14ac:dyDescent="0.35">
      <c r="B113" s="16" t="s">
        <v>175</v>
      </c>
      <c r="C113" s="8">
        <v>46120</v>
      </c>
      <c r="D113" s="3" t="s">
        <v>176</v>
      </c>
      <c r="E113" s="3" t="s">
        <v>12</v>
      </c>
      <c r="F113" s="3" t="s">
        <v>55</v>
      </c>
      <c r="G113" s="3" t="s">
        <v>32</v>
      </c>
      <c r="H113" s="3">
        <v>4</v>
      </c>
      <c r="I113" s="5">
        <v>1200</v>
      </c>
      <c r="J113" s="5">
        <f>Table1[[#This Row],[Quantity]]*Table1[[#This Row],[Price]]</f>
        <v>4800</v>
      </c>
      <c r="K113" s="18">
        <f>Table1[[#This Row],[Sales]]*14%</f>
        <v>672.00000000000011</v>
      </c>
    </row>
    <row r="114" spans="2:11" ht="15" thickBot="1" x14ac:dyDescent="0.35">
      <c r="B114" s="16" t="s">
        <v>177</v>
      </c>
      <c r="C114" s="8">
        <v>46120</v>
      </c>
      <c r="D114" s="3" t="s">
        <v>140</v>
      </c>
      <c r="E114" s="3" t="s">
        <v>40</v>
      </c>
      <c r="F114" s="3" t="s">
        <v>22</v>
      </c>
      <c r="G114" s="3" t="s">
        <v>14</v>
      </c>
      <c r="H114" s="3">
        <v>4</v>
      </c>
      <c r="I114" s="5">
        <v>15000</v>
      </c>
      <c r="J114" s="5">
        <f>Table1[[#This Row],[Quantity]]*Table1[[#This Row],[Price]]</f>
        <v>60000</v>
      </c>
      <c r="K114" s="18">
        <f>Table1[[#This Row],[Sales]]*14%</f>
        <v>8400</v>
      </c>
    </row>
    <row r="115" spans="2:11" ht="15" thickBot="1" x14ac:dyDescent="0.35">
      <c r="B115" s="16" t="s">
        <v>178</v>
      </c>
      <c r="C115" s="8">
        <v>46143</v>
      </c>
      <c r="D115" s="3" t="s">
        <v>24</v>
      </c>
      <c r="E115" s="3" t="s">
        <v>12</v>
      </c>
      <c r="F115" s="3" t="s">
        <v>25</v>
      </c>
      <c r="G115" s="3" t="s">
        <v>26</v>
      </c>
      <c r="H115" s="3">
        <v>4</v>
      </c>
      <c r="I115" s="5">
        <v>350</v>
      </c>
      <c r="J115" s="5">
        <f>Table1[[#This Row],[Quantity]]*Table1[[#This Row],[Price]]</f>
        <v>1400</v>
      </c>
      <c r="K115" s="18">
        <f>Table1[[#This Row],[Sales]]*14%</f>
        <v>196.00000000000003</v>
      </c>
    </row>
    <row r="116" spans="2:11" ht="15" thickBot="1" x14ac:dyDescent="0.35">
      <c r="B116" s="16" t="s">
        <v>179</v>
      </c>
      <c r="C116" s="8">
        <v>46112</v>
      </c>
      <c r="D116" s="3" t="s">
        <v>19</v>
      </c>
      <c r="E116" s="3" t="s">
        <v>12</v>
      </c>
      <c r="F116" s="3" t="s">
        <v>50</v>
      </c>
      <c r="G116" s="3" t="s">
        <v>26</v>
      </c>
      <c r="H116" s="3">
        <v>5</v>
      </c>
      <c r="I116" s="5">
        <v>237.5</v>
      </c>
      <c r="J116" s="5">
        <f>Table1[[#This Row],[Quantity]]*Table1[[#This Row],[Price]]</f>
        <v>1187.5</v>
      </c>
      <c r="K116" s="18">
        <f>Table1[[#This Row],[Sales]]*14%</f>
        <v>166.25000000000003</v>
      </c>
    </row>
    <row r="117" spans="2:11" ht="15" thickBot="1" x14ac:dyDescent="0.35">
      <c r="B117" s="16" t="s">
        <v>180</v>
      </c>
      <c r="C117" s="8">
        <v>46086</v>
      </c>
      <c r="D117" s="3" t="s">
        <v>54</v>
      </c>
      <c r="E117" s="3" t="s">
        <v>17</v>
      </c>
      <c r="F117" s="3" t="s">
        <v>47</v>
      </c>
      <c r="G117" s="3" t="s">
        <v>48</v>
      </c>
      <c r="H117" s="3">
        <v>1</v>
      </c>
      <c r="I117" s="5">
        <v>1710</v>
      </c>
      <c r="J117" s="5">
        <f>Table1[[#This Row],[Quantity]]*Table1[[#This Row],[Price]]</f>
        <v>1710</v>
      </c>
      <c r="K117" s="18">
        <f>Table1[[#This Row],[Sales]]*14%</f>
        <v>239.40000000000003</v>
      </c>
    </row>
    <row r="118" spans="2:11" ht="15" thickBot="1" x14ac:dyDescent="0.35">
      <c r="B118" s="16" t="s">
        <v>181</v>
      </c>
      <c r="C118" s="8">
        <v>46144</v>
      </c>
      <c r="D118" s="3" t="s">
        <v>46</v>
      </c>
      <c r="E118" s="3" t="s">
        <v>36</v>
      </c>
      <c r="F118" s="3" t="s">
        <v>55</v>
      </c>
      <c r="G118" s="3" t="s">
        <v>32</v>
      </c>
      <c r="H118" s="3">
        <v>1</v>
      </c>
      <c r="I118" s="5">
        <v>1200</v>
      </c>
      <c r="J118" s="5">
        <f>Table1[[#This Row],[Quantity]]*Table1[[#This Row],[Price]]</f>
        <v>1200</v>
      </c>
      <c r="K118" s="18">
        <f>Table1[[#This Row],[Sales]]*14%</f>
        <v>168.00000000000003</v>
      </c>
    </row>
    <row r="119" spans="2:11" ht="15" thickBot="1" x14ac:dyDescent="0.35">
      <c r="B119" s="16" t="s">
        <v>182</v>
      </c>
      <c r="C119" s="8">
        <v>46088</v>
      </c>
      <c r="D119" s="3" t="s">
        <v>39</v>
      </c>
      <c r="E119" s="3" t="s">
        <v>40</v>
      </c>
      <c r="F119" s="3" t="s">
        <v>13</v>
      </c>
      <c r="G119" s="3" t="s">
        <v>14</v>
      </c>
      <c r="H119" s="3">
        <v>5</v>
      </c>
      <c r="I119" s="5">
        <v>28000</v>
      </c>
      <c r="J119" s="5">
        <f>Table1[[#This Row],[Quantity]]*Table1[[#This Row],[Price]]</f>
        <v>140000</v>
      </c>
      <c r="K119" s="18">
        <f>Table1[[#This Row],[Sales]]*14%</f>
        <v>19600.000000000004</v>
      </c>
    </row>
    <row r="120" spans="2:11" ht="15" thickBot="1" x14ac:dyDescent="0.35">
      <c r="B120" s="16" t="s">
        <v>183</v>
      </c>
      <c r="C120" s="8">
        <v>46064</v>
      </c>
      <c r="D120" s="3" t="s">
        <v>80</v>
      </c>
      <c r="E120" s="3" t="s">
        <v>36</v>
      </c>
      <c r="F120" s="3" t="s">
        <v>31</v>
      </c>
      <c r="G120" s="3" t="s">
        <v>32</v>
      </c>
      <c r="H120" s="3">
        <v>2</v>
      </c>
      <c r="I120" s="5">
        <v>855</v>
      </c>
      <c r="J120" s="5">
        <f>Table1[[#This Row],[Quantity]]*Table1[[#This Row],[Price]]</f>
        <v>1710</v>
      </c>
      <c r="K120" s="18">
        <f>Table1[[#This Row],[Sales]]*14%</f>
        <v>239.40000000000003</v>
      </c>
    </row>
    <row r="121" spans="2:11" ht="15" thickBot="1" x14ac:dyDescent="0.35">
      <c r="B121" s="16" t="s">
        <v>184</v>
      </c>
      <c r="C121" s="8">
        <v>46170</v>
      </c>
      <c r="D121" s="3" t="s">
        <v>120</v>
      </c>
      <c r="E121" s="3" t="s">
        <v>43</v>
      </c>
      <c r="F121" s="3" t="s">
        <v>13</v>
      </c>
      <c r="G121" s="3" t="s">
        <v>14</v>
      </c>
      <c r="H121" s="3">
        <v>5</v>
      </c>
      <c r="I121" s="5">
        <v>26600</v>
      </c>
      <c r="J121" s="5">
        <f>Table1[[#This Row],[Quantity]]*Table1[[#This Row],[Price]]</f>
        <v>133000</v>
      </c>
      <c r="K121" s="18">
        <f>Table1[[#This Row],[Sales]]*14%</f>
        <v>18620</v>
      </c>
    </row>
    <row r="122" spans="2:11" ht="15" thickBot="1" x14ac:dyDescent="0.35">
      <c r="B122" s="16" t="s">
        <v>185</v>
      </c>
      <c r="C122" s="8">
        <v>46073</v>
      </c>
      <c r="D122" s="3" t="s">
        <v>39</v>
      </c>
      <c r="E122" s="3" t="s">
        <v>40</v>
      </c>
      <c r="F122" s="3" t="s">
        <v>37</v>
      </c>
      <c r="G122" s="3" t="s">
        <v>14</v>
      </c>
      <c r="H122" s="3">
        <v>4</v>
      </c>
      <c r="I122" s="5">
        <v>2310</v>
      </c>
      <c r="J122" s="5">
        <f>Table1[[#This Row],[Quantity]]*Table1[[#This Row],[Price]]</f>
        <v>9240</v>
      </c>
      <c r="K122" s="18">
        <f>Table1[[#This Row],[Sales]]*14%</f>
        <v>1293.6000000000001</v>
      </c>
    </row>
    <row r="123" spans="2:11" ht="15" thickBot="1" x14ac:dyDescent="0.35">
      <c r="B123" s="16" t="s">
        <v>186</v>
      </c>
      <c r="C123" s="8">
        <v>46100</v>
      </c>
      <c r="D123" s="3" t="s">
        <v>87</v>
      </c>
      <c r="E123" s="3" t="s">
        <v>12</v>
      </c>
      <c r="F123" s="3" t="s">
        <v>63</v>
      </c>
      <c r="G123" s="3" t="s">
        <v>60</v>
      </c>
      <c r="H123" s="3">
        <v>2</v>
      </c>
      <c r="I123" s="5">
        <v>10450</v>
      </c>
      <c r="J123" s="5">
        <f>Table1[[#This Row],[Quantity]]*Table1[[#This Row],[Price]]</f>
        <v>20900</v>
      </c>
      <c r="K123" s="18">
        <f>Table1[[#This Row],[Sales]]*14%</f>
        <v>2926.0000000000005</v>
      </c>
    </row>
    <row r="124" spans="2:11" ht="15" thickBot="1" x14ac:dyDescent="0.35">
      <c r="B124" s="16" t="s">
        <v>187</v>
      </c>
      <c r="C124" s="8">
        <v>46167</v>
      </c>
      <c r="D124" s="3" t="s">
        <v>90</v>
      </c>
      <c r="E124" s="3" t="s">
        <v>83</v>
      </c>
      <c r="F124" s="3" t="s">
        <v>47</v>
      </c>
      <c r="G124" s="3" t="s">
        <v>48</v>
      </c>
      <c r="H124" s="3">
        <v>5</v>
      </c>
      <c r="I124" s="5">
        <v>1710</v>
      </c>
      <c r="J124" s="5">
        <f>Table1[[#This Row],[Quantity]]*Table1[[#This Row],[Price]]</f>
        <v>8550</v>
      </c>
      <c r="K124" s="18">
        <f>Table1[[#This Row],[Sales]]*14%</f>
        <v>1197.0000000000002</v>
      </c>
    </row>
    <row r="125" spans="2:11" ht="15" thickBot="1" x14ac:dyDescent="0.35">
      <c r="B125" s="16" t="s">
        <v>188</v>
      </c>
      <c r="C125" s="8">
        <v>46040</v>
      </c>
      <c r="D125" s="3" t="s">
        <v>93</v>
      </c>
      <c r="E125" s="3" t="s">
        <v>43</v>
      </c>
      <c r="F125" s="3" t="s">
        <v>102</v>
      </c>
      <c r="G125" s="3" t="s">
        <v>14</v>
      </c>
      <c r="H125" s="3">
        <v>3</v>
      </c>
      <c r="I125" s="5">
        <v>57750</v>
      </c>
      <c r="J125" s="5">
        <f>Table1[[#This Row],[Quantity]]*Table1[[#This Row],[Price]]</f>
        <v>173250</v>
      </c>
      <c r="K125" s="18">
        <f>Table1[[#This Row],[Sales]]*14%</f>
        <v>24255.000000000004</v>
      </c>
    </row>
    <row r="126" spans="2:11" ht="15" thickBot="1" x14ac:dyDescent="0.35">
      <c r="B126" s="16" t="s">
        <v>189</v>
      </c>
      <c r="C126" s="8">
        <v>46148</v>
      </c>
      <c r="D126" s="3" t="s">
        <v>65</v>
      </c>
      <c r="E126" s="3" t="s">
        <v>12</v>
      </c>
      <c r="F126" s="3" t="s">
        <v>47</v>
      </c>
      <c r="G126" s="3" t="s">
        <v>48</v>
      </c>
      <c r="H126" s="3">
        <v>3</v>
      </c>
      <c r="I126" s="5">
        <v>1710</v>
      </c>
      <c r="J126" s="5">
        <f>Table1[[#This Row],[Quantity]]*Table1[[#This Row],[Price]]</f>
        <v>5130</v>
      </c>
      <c r="K126" s="18">
        <f>Table1[[#This Row],[Sales]]*14%</f>
        <v>718.2</v>
      </c>
    </row>
    <row r="127" spans="2:11" ht="15" thickBot="1" x14ac:dyDescent="0.35">
      <c r="B127" s="16" t="s">
        <v>190</v>
      </c>
      <c r="C127" s="8">
        <v>46134</v>
      </c>
      <c r="D127" s="3" t="s">
        <v>30</v>
      </c>
      <c r="E127" s="3" t="s">
        <v>17</v>
      </c>
      <c r="F127" s="3" t="s">
        <v>94</v>
      </c>
      <c r="G127" s="3" t="s">
        <v>32</v>
      </c>
      <c r="H127" s="3">
        <v>3</v>
      </c>
      <c r="I127" s="5">
        <v>2625</v>
      </c>
      <c r="J127" s="5">
        <f>Table1[[#This Row],[Quantity]]*Table1[[#This Row],[Price]]</f>
        <v>7875</v>
      </c>
      <c r="K127" s="18">
        <f>Table1[[#This Row],[Sales]]*14%</f>
        <v>1102.5</v>
      </c>
    </row>
    <row r="128" spans="2:11" ht="15" thickBot="1" x14ac:dyDescent="0.35">
      <c r="B128" s="16" t="s">
        <v>191</v>
      </c>
      <c r="C128" s="8">
        <v>46160</v>
      </c>
      <c r="D128" s="3" t="s">
        <v>82</v>
      </c>
      <c r="E128" s="3" t="s">
        <v>83</v>
      </c>
      <c r="F128" s="3" t="s">
        <v>50</v>
      </c>
      <c r="G128" s="3" t="s">
        <v>26</v>
      </c>
      <c r="H128" s="3">
        <v>5</v>
      </c>
      <c r="I128" s="5">
        <v>250</v>
      </c>
      <c r="J128" s="5">
        <f>Table1[[#This Row],[Quantity]]*Table1[[#This Row],[Price]]</f>
        <v>1250</v>
      </c>
      <c r="K128" s="18">
        <f>Table1[[#This Row],[Sales]]*14%</f>
        <v>175.00000000000003</v>
      </c>
    </row>
    <row r="129" spans="2:11" ht="15" thickBot="1" x14ac:dyDescent="0.35">
      <c r="B129" s="16" t="s">
        <v>192</v>
      </c>
      <c r="C129" s="8">
        <v>46174</v>
      </c>
      <c r="D129" s="3" t="s">
        <v>80</v>
      </c>
      <c r="E129" s="3" t="s">
        <v>36</v>
      </c>
      <c r="F129" s="3" t="s">
        <v>66</v>
      </c>
      <c r="G129" s="3" t="s">
        <v>67</v>
      </c>
      <c r="H129" s="3">
        <v>4</v>
      </c>
      <c r="I129" s="5">
        <v>12600</v>
      </c>
      <c r="J129" s="5">
        <f>Table1[[#This Row],[Quantity]]*Table1[[#This Row],[Price]]</f>
        <v>50400</v>
      </c>
      <c r="K129" s="18">
        <f>Table1[[#This Row],[Sales]]*14%</f>
        <v>7056.0000000000009</v>
      </c>
    </row>
    <row r="130" spans="2:11" ht="15" thickBot="1" x14ac:dyDescent="0.35">
      <c r="B130" s="16" t="s">
        <v>193</v>
      </c>
      <c r="C130" s="8">
        <v>46138</v>
      </c>
      <c r="D130" s="3" t="s">
        <v>24</v>
      </c>
      <c r="E130" s="3" t="s">
        <v>12</v>
      </c>
      <c r="F130" s="3" t="s">
        <v>31</v>
      </c>
      <c r="G130" s="3" t="s">
        <v>32</v>
      </c>
      <c r="H130" s="3">
        <v>2</v>
      </c>
      <c r="I130" s="5">
        <v>855</v>
      </c>
      <c r="J130" s="5">
        <f>Table1[[#This Row],[Quantity]]*Table1[[#This Row],[Price]]</f>
        <v>1710</v>
      </c>
      <c r="K130" s="18">
        <f>Table1[[#This Row],[Sales]]*14%</f>
        <v>239.40000000000003</v>
      </c>
    </row>
    <row r="131" spans="2:11" ht="15" thickBot="1" x14ac:dyDescent="0.35">
      <c r="B131" s="16" t="s">
        <v>194</v>
      </c>
      <c r="C131" s="8">
        <v>46149</v>
      </c>
      <c r="D131" s="3" t="s">
        <v>54</v>
      </c>
      <c r="E131" s="3" t="s">
        <v>17</v>
      </c>
      <c r="F131" s="3" t="s">
        <v>25</v>
      </c>
      <c r="G131" s="3" t="s">
        <v>26</v>
      </c>
      <c r="H131" s="3">
        <v>4</v>
      </c>
      <c r="I131" s="5">
        <v>367.5</v>
      </c>
      <c r="J131" s="5">
        <f>Table1[[#This Row],[Quantity]]*Table1[[#This Row],[Price]]</f>
        <v>1470</v>
      </c>
      <c r="K131" s="18">
        <f>Table1[[#This Row],[Sales]]*14%</f>
        <v>205.8</v>
      </c>
    </row>
    <row r="132" spans="2:11" ht="15" thickBot="1" x14ac:dyDescent="0.35">
      <c r="B132" s="16" t="s">
        <v>195</v>
      </c>
      <c r="C132" s="8">
        <v>46089</v>
      </c>
      <c r="D132" s="3" t="s">
        <v>90</v>
      </c>
      <c r="E132" s="3" t="s">
        <v>83</v>
      </c>
      <c r="F132" s="3" t="s">
        <v>31</v>
      </c>
      <c r="G132" s="3" t="s">
        <v>32</v>
      </c>
      <c r="H132" s="3">
        <v>2</v>
      </c>
      <c r="I132" s="5">
        <v>945</v>
      </c>
      <c r="J132" s="5">
        <f>Table1[[#This Row],[Quantity]]*Table1[[#This Row],[Price]]</f>
        <v>1890</v>
      </c>
      <c r="K132" s="18">
        <f>Table1[[#This Row],[Sales]]*14%</f>
        <v>264.60000000000002</v>
      </c>
    </row>
    <row r="133" spans="2:11" ht="15" thickBot="1" x14ac:dyDescent="0.35">
      <c r="B133" s="16" t="s">
        <v>196</v>
      </c>
      <c r="C133" s="8">
        <v>46155</v>
      </c>
      <c r="D133" s="3" t="s">
        <v>140</v>
      </c>
      <c r="E133" s="3" t="s">
        <v>40</v>
      </c>
      <c r="F133" s="3" t="s">
        <v>44</v>
      </c>
      <c r="G133" s="3" t="s">
        <v>32</v>
      </c>
      <c r="H133" s="3">
        <v>5</v>
      </c>
      <c r="I133" s="5">
        <v>1800</v>
      </c>
      <c r="J133" s="5">
        <f>Table1[[#This Row],[Quantity]]*Table1[[#This Row],[Price]]</f>
        <v>9000</v>
      </c>
      <c r="K133" s="18">
        <f>Table1[[#This Row],[Sales]]*14%</f>
        <v>1260.0000000000002</v>
      </c>
    </row>
    <row r="134" spans="2:11" ht="15" thickBot="1" x14ac:dyDescent="0.35">
      <c r="B134" s="16" t="s">
        <v>197</v>
      </c>
      <c r="C134" s="8">
        <v>46084</v>
      </c>
      <c r="D134" s="3" t="s">
        <v>46</v>
      </c>
      <c r="E134" s="3" t="s">
        <v>36</v>
      </c>
      <c r="F134" s="3" t="s">
        <v>13</v>
      </c>
      <c r="G134" s="3" t="s">
        <v>14</v>
      </c>
      <c r="H134" s="3">
        <v>2</v>
      </c>
      <c r="I134" s="5">
        <v>29400</v>
      </c>
      <c r="J134" s="5">
        <f>Table1[[#This Row],[Quantity]]*Table1[[#This Row],[Price]]</f>
        <v>58800</v>
      </c>
      <c r="K134" s="18">
        <f>Table1[[#This Row],[Sales]]*14%</f>
        <v>8232</v>
      </c>
    </row>
    <row r="135" spans="2:11" ht="15" thickBot="1" x14ac:dyDescent="0.35">
      <c r="B135" s="16" t="s">
        <v>198</v>
      </c>
      <c r="C135" s="8">
        <v>46046</v>
      </c>
      <c r="D135" s="3" t="s">
        <v>124</v>
      </c>
      <c r="E135" s="3" t="s">
        <v>83</v>
      </c>
      <c r="F135" s="3" t="s">
        <v>66</v>
      </c>
      <c r="G135" s="3" t="s">
        <v>67</v>
      </c>
      <c r="H135" s="3">
        <v>4</v>
      </c>
      <c r="I135" s="5">
        <v>12600</v>
      </c>
      <c r="J135" s="5">
        <f>Table1[[#This Row],[Quantity]]*Table1[[#This Row],[Price]]</f>
        <v>50400</v>
      </c>
      <c r="K135" s="18">
        <f>Table1[[#This Row],[Sales]]*14%</f>
        <v>7056.0000000000009</v>
      </c>
    </row>
    <row r="136" spans="2:11" ht="15" thickBot="1" x14ac:dyDescent="0.35">
      <c r="B136" s="16" t="s">
        <v>199</v>
      </c>
      <c r="C136" s="8">
        <v>46171</v>
      </c>
      <c r="D136" s="3" t="s">
        <v>120</v>
      </c>
      <c r="E136" s="3" t="s">
        <v>43</v>
      </c>
      <c r="F136" s="3" t="s">
        <v>22</v>
      </c>
      <c r="G136" s="3" t="s">
        <v>14</v>
      </c>
      <c r="H136" s="3">
        <v>4</v>
      </c>
      <c r="I136" s="5">
        <v>15000</v>
      </c>
      <c r="J136" s="5">
        <f>Table1[[#This Row],[Quantity]]*Table1[[#This Row],[Price]]</f>
        <v>60000</v>
      </c>
      <c r="K136" s="18">
        <f>Table1[[#This Row],[Sales]]*14%</f>
        <v>8400</v>
      </c>
    </row>
    <row r="137" spans="2:11" ht="15" thickBot="1" x14ac:dyDescent="0.35">
      <c r="B137" s="16" t="s">
        <v>200</v>
      </c>
      <c r="C137" s="8">
        <v>46163</v>
      </c>
      <c r="D137" s="3" t="s">
        <v>96</v>
      </c>
      <c r="E137" s="3" t="s">
        <v>83</v>
      </c>
      <c r="F137" s="3" t="s">
        <v>66</v>
      </c>
      <c r="G137" s="3" t="s">
        <v>67</v>
      </c>
      <c r="H137" s="3">
        <v>5</v>
      </c>
      <c r="I137" s="5">
        <v>12000</v>
      </c>
      <c r="J137" s="5">
        <f>Table1[[#This Row],[Quantity]]*Table1[[#This Row],[Price]]</f>
        <v>60000</v>
      </c>
      <c r="K137" s="18">
        <f>Table1[[#This Row],[Sales]]*14%</f>
        <v>8400</v>
      </c>
    </row>
    <row r="138" spans="2:11" ht="15" thickBot="1" x14ac:dyDescent="0.35">
      <c r="B138" s="16" t="s">
        <v>201</v>
      </c>
      <c r="C138" s="8">
        <v>46082</v>
      </c>
      <c r="D138" s="3" t="s">
        <v>140</v>
      </c>
      <c r="E138" s="3" t="s">
        <v>40</v>
      </c>
      <c r="F138" s="3" t="s">
        <v>31</v>
      </c>
      <c r="G138" s="3" t="s">
        <v>32</v>
      </c>
      <c r="H138" s="3">
        <v>4</v>
      </c>
      <c r="I138" s="5">
        <v>900</v>
      </c>
      <c r="J138" s="5">
        <f>Table1[[#This Row],[Quantity]]*Table1[[#This Row],[Price]]</f>
        <v>3600</v>
      </c>
      <c r="K138" s="18">
        <f>Table1[[#This Row],[Sales]]*14%</f>
        <v>504.00000000000006</v>
      </c>
    </row>
    <row r="139" spans="2:11" ht="15" thickBot="1" x14ac:dyDescent="0.35">
      <c r="B139" s="16" t="s">
        <v>202</v>
      </c>
      <c r="C139" s="8">
        <v>46160</v>
      </c>
      <c r="D139" s="3" t="s">
        <v>30</v>
      </c>
      <c r="E139" s="3" t="s">
        <v>17</v>
      </c>
      <c r="F139" s="3" t="s">
        <v>50</v>
      </c>
      <c r="G139" s="3" t="s">
        <v>26</v>
      </c>
      <c r="H139" s="3">
        <v>2</v>
      </c>
      <c r="I139" s="5">
        <v>250</v>
      </c>
      <c r="J139" s="5">
        <f>Table1[[#This Row],[Quantity]]*Table1[[#This Row],[Price]]</f>
        <v>500</v>
      </c>
      <c r="K139" s="18">
        <f>Table1[[#This Row],[Sales]]*14%</f>
        <v>70</v>
      </c>
    </row>
    <row r="140" spans="2:11" ht="15" thickBot="1" x14ac:dyDescent="0.35">
      <c r="B140" s="16" t="s">
        <v>203</v>
      </c>
      <c r="C140" s="8">
        <v>46146</v>
      </c>
      <c r="D140" s="3" t="s">
        <v>80</v>
      </c>
      <c r="E140" s="3" t="s">
        <v>36</v>
      </c>
      <c r="F140" s="3" t="s">
        <v>50</v>
      </c>
      <c r="G140" s="3" t="s">
        <v>26</v>
      </c>
      <c r="H140" s="3">
        <v>2</v>
      </c>
      <c r="I140" s="5">
        <v>250</v>
      </c>
      <c r="J140" s="5">
        <f>Table1[[#This Row],[Quantity]]*Table1[[#This Row],[Price]]</f>
        <v>500</v>
      </c>
      <c r="K140" s="18">
        <f>Table1[[#This Row],[Sales]]*14%</f>
        <v>70</v>
      </c>
    </row>
    <row r="141" spans="2:11" ht="15" thickBot="1" x14ac:dyDescent="0.35">
      <c r="B141" s="16" t="s">
        <v>204</v>
      </c>
      <c r="C141" s="8">
        <v>46072</v>
      </c>
      <c r="D141" s="3" t="s">
        <v>24</v>
      </c>
      <c r="E141" s="3" t="s">
        <v>12</v>
      </c>
      <c r="F141" s="3" t="s">
        <v>50</v>
      </c>
      <c r="G141" s="3" t="s">
        <v>26</v>
      </c>
      <c r="H141" s="3">
        <v>5</v>
      </c>
      <c r="I141" s="5">
        <v>250</v>
      </c>
      <c r="J141" s="5">
        <f>Table1[[#This Row],[Quantity]]*Table1[[#This Row],[Price]]</f>
        <v>1250</v>
      </c>
      <c r="K141" s="18">
        <f>Table1[[#This Row],[Sales]]*14%</f>
        <v>175.00000000000003</v>
      </c>
    </row>
    <row r="142" spans="2:11" ht="15" thickBot="1" x14ac:dyDescent="0.35">
      <c r="B142" s="16" t="s">
        <v>205</v>
      </c>
      <c r="C142" s="8">
        <v>46204</v>
      </c>
      <c r="D142" s="3" t="s">
        <v>120</v>
      </c>
      <c r="E142" s="3" t="s">
        <v>43</v>
      </c>
      <c r="F142" s="3" t="s">
        <v>22</v>
      </c>
      <c r="G142" s="3" t="s">
        <v>14</v>
      </c>
      <c r="H142" s="3">
        <v>3</v>
      </c>
      <c r="I142" s="5">
        <v>15000</v>
      </c>
      <c r="J142" s="5">
        <f>Table1[[#This Row],[Quantity]]*Table1[[#This Row],[Price]]</f>
        <v>45000</v>
      </c>
      <c r="K142" s="18">
        <f>Table1[[#This Row],[Sales]]*14%</f>
        <v>6300.0000000000009</v>
      </c>
    </row>
    <row r="143" spans="2:11" ht="15" thickBot="1" x14ac:dyDescent="0.35">
      <c r="B143" s="16" t="s">
        <v>206</v>
      </c>
      <c r="C143" s="8">
        <v>46164</v>
      </c>
      <c r="D143" s="3" t="s">
        <v>21</v>
      </c>
      <c r="E143" s="3" t="s">
        <v>17</v>
      </c>
      <c r="F143" s="3" t="s">
        <v>28</v>
      </c>
      <c r="G143" s="3" t="s">
        <v>14</v>
      </c>
      <c r="H143" s="3">
        <v>3</v>
      </c>
      <c r="I143" s="5">
        <v>20900</v>
      </c>
      <c r="J143" s="5">
        <f>Table1[[#This Row],[Quantity]]*Table1[[#This Row],[Price]]</f>
        <v>62700</v>
      </c>
      <c r="K143" s="18">
        <f>Table1[[#This Row],[Sales]]*14%</f>
        <v>8778</v>
      </c>
    </row>
    <row r="144" spans="2:11" ht="15" thickBot="1" x14ac:dyDescent="0.35">
      <c r="B144" s="16" t="s">
        <v>207</v>
      </c>
      <c r="C144" s="8">
        <v>46026</v>
      </c>
      <c r="D144" s="3" t="s">
        <v>120</v>
      </c>
      <c r="E144" s="3" t="s">
        <v>43</v>
      </c>
      <c r="F144" s="3" t="s">
        <v>50</v>
      </c>
      <c r="G144" s="3" t="s">
        <v>26</v>
      </c>
      <c r="H144" s="3">
        <v>2</v>
      </c>
      <c r="I144" s="5">
        <v>262.5</v>
      </c>
      <c r="J144" s="5">
        <f>Table1[[#This Row],[Quantity]]*Table1[[#This Row],[Price]]</f>
        <v>525</v>
      </c>
      <c r="K144" s="18">
        <f>Table1[[#This Row],[Sales]]*14%</f>
        <v>73.5</v>
      </c>
    </row>
    <row r="145" spans="2:11" ht="15" thickBot="1" x14ac:dyDescent="0.35">
      <c r="B145" s="16" t="s">
        <v>208</v>
      </c>
      <c r="C145" s="8">
        <v>46070</v>
      </c>
      <c r="D145" s="3" t="s">
        <v>157</v>
      </c>
      <c r="E145" s="3" t="s">
        <v>43</v>
      </c>
      <c r="F145" s="3" t="s">
        <v>44</v>
      </c>
      <c r="G145" s="3" t="s">
        <v>32</v>
      </c>
      <c r="H145" s="3">
        <v>4</v>
      </c>
      <c r="I145" s="5">
        <v>1890</v>
      </c>
      <c r="J145" s="5">
        <f>Table1[[#This Row],[Quantity]]*Table1[[#This Row],[Price]]</f>
        <v>7560</v>
      </c>
      <c r="K145" s="18">
        <f>Table1[[#This Row],[Sales]]*14%</f>
        <v>1058.4000000000001</v>
      </c>
    </row>
    <row r="146" spans="2:11" ht="15" thickBot="1" x14ac:dyDescent="0.35">
      <c r="B146" s="16" t="s">
        <v>209</v>
      </c>
      <c r="C146" s="8">
        <v>46125</v>
      </c>
      <c r="D146" s="3" t="s">
        <v>108</v>
      </c>
      <c r="E146" s="3" t="s">
        <v>83</v>
      </c>
      <c r="F146" s="3" t="s">
        <v>44</v>
      </c>
      <c r="G146" s="3" t="s">
        <v>32</v>
      </c>
      <c r="H146" s="3">
        <v>4</v>
      </c>
      <c r="I146" s="5">
        <v>1710</v>
      </c>
      <c r="J146" s="5">
        <f>Table1[[#This Row],[Quantity]]*Table1[[#This Row],[Price]]</f>
        <v>6840</v>
      </c>
      <c r="K146" s="18">
        <f>Table1[[#This Row],[Sales]]*14%</f>
        <v>957.60000000000014</v>
      </c>
    </row>
    <row r="147" spans="2:11" ht="15" thickBot="1" x14ac:dyDescent="0.35">
      <c r="B147" s="16" t="s">
        <v>210</v>
      </c>
      <c r="C147" s="8">
        <v>46167</v>
      </c>
      <c r="D147" s="3" t="s">
        <v>211</v>
      </c>
      <c r="E147" s="3" t="s">
        <v>83</v>
      </c>
      <c r="F147" s="3" t="s">
        <v>13</v>
      </c>
      <c r="G147" s="3" t="s">
        <v>14</v>
      </c>
      <c r="H147" s="3">
        <v>5</v>
      </c>
      <c r="I147" s="5">
        <v>26600</v>
      </c>
      <c r="J147" s="5">
        <f>Table1[[#This Row],[Quantity]]*Table1[[#This Row],[Price]]</f>
        <v>133000</v>
      </c>
      <c r="K147" s="18">
        <f>Table1[[#This Row],[Sales]]*14%</f>
        <v>18620</v>
      </c>
    </row>
    <row r="148" spans="2:11" ht="15" thickBot="1" x14ac:dyDescent="0.35">
      <c r="B148" s="16" t="s">
        <v>212</v>
      </c>
      <c r="C148" s="8">
        <v>46129</v>
      </c>
      <c r="D148" s="3" t="s">
        <v>120</v>
      </c>
      <c r="E148" s="3" t="s">
        <v>43</v>
      </c>
      <c r="F148" s="3" t="s">
        <v>13</v>
      </c>
      <c r="G148" s="3" t="s">
        <v>14</v>
      </c>
      <c r="H148" s="3">
        <v>2</v>
      </c>
      <c r="I148" s="5">
        <v>26600</v>
      </c>
      <c r="J148" s="5">
        <f>Table1[[#This Row],[Quantity]]*Table1[[#This Row],[Price]]</f>
        <v>53200</v>
      </c>
      <c r="K148" s="18">
        <f>Table1[[#This Row],[Sales]]*14%</f>
        <v>7448.0000000000009</v>
      </c>
    </row>
    <row r="149" spans="2:11" ht="15" thickBot="1" x14ac:dyDescent="0.35">
      <c r="B149" s="16" t="s">
        <v>213</v>
      </c>
      <c r="C149" s="8">
        <v>46120</v>
      </c>
      <c r="D149" s="3" t="s">
        <v>35</v>
      </c>
      <c r="E149" s="3" t="s">
        <v>36</v>
      </c>
      <c r="F149" s="3" t="s">
        <v>63</v>
      </c>
      <c r="G149" s="3" t="s">
        <v>60</v>
      </c>
      <c r="H149" s="3">
        <v>5</v>
      </c>
      <c r="I149" s="5">
        <v>11000</v>
      </c>
      <c r="J149" s="5">
        <f>Table1[[#This Row],[Quantity]]*Table1[[#This Row],[Price]]</f>
        <v>55000</v>
      </c>
      <c r="K149" s="18">
        <f>Table1[[#This Row],[Sales]]*14%</f>
        <v>7700.0000000000009</v>
      </c>
    </row>
    <row r="150" spans="2:11" ht="15" thickBot="1" x14ac:dyDescent="0.35">
      <c r="B150" s="16" t="s">
        <v>214</v>
      </c>
      <c r="C150" s="8">
        <v>46132</v>
      </c>
      <c r="D150" s="3" t="s">
        <v>70</v>
      </c>
      <c r="E150" s="3" t="s">
        <v>12</v>
      </c>
      <c r="F150" s="3" t="s">
        <v>37</v>
      </c>
      <c r="G150" s="3" t="s">
        <v>14</v>
      </c>
      <c r="H150" s="3">
        <v>4</v>
      </c>
      <c r="I150" s="5">
        <v>2200</v>
      </c>
      <c r="J150" s="5">
        <f>Table1[[#This Row],[Quantity]]*Table1[[#This Row],[Price]]</f>
        <v>8800</v>
      </c>
      <c r="K150" s="18">
        <f>Table1[[#This Row],[Sales]]*14%</f>
        <v>1232.0000000000002</v>
      </c>
    </row>
    <row r="151" spans="2:11" ht="15" thickBot="1" x14ac:dyDescent="0.35">
      <c r="B151" s="16" t="s">
        <v>215</v>
      </c>
      <c r="C151" s="8">
        <v>46048</v>
      </c>
      <c r="D151" s="3" t="s">
        <v>120</v>
      </c>
      <c r="E151" s="3" t="s">
        <v>43</v>
      </c>
      <c r="F151" s="3" t="s">
        <v>63</v>
      </c>
      <c r="G151" s="3" t="s">
        <v>60</v>
      </c>
      <c r="H151" s="3">
        <v>5</v>
      </c>
      <c r="I151" s="5">
        <v>10450</v>
      </c>
      <c r="J151" s="5">
        <f>Table1[[#This Row],[Quantity]]*Table1[[#This Row],[Price]]</f>
        <v>52250</v>
      </c>
      <c r="K151" s="18">
        <f>Table1[[#This Row],[Sales]]*14%</f>
        <v>7315.0000000000009</v>
      </c>
    </row>
    <row r="152" spans="2:11" ht="15" thickBot="1" x14ac:dyDescent="0.35">
      <c r="B152" s="16" t="s">
        <v>216</v>
      </c>
      <c r="C152" s="8">
        <v>46063</v>
      </c>
      <c r="D152" s="3" t="s">
        <v>80</v>
      </c>
      <c r="E152" s="3" t="s">
        <v>36</v>
      </c>
      <c r="F152" s="3" t="s">
        <v>22</v>
      </c>
      <c r="G152" s="3" t="s">
        <v>14</v>
      </c>
      <c r="H152" s="3">
        <v>2</v>
      </c>
      <c r="I152" s="5">
        <v>15000</v>
      </c>
      <c r="J152" s="5">
        <f>Table1[[#This Row],[Quantity]]*Table1[[#This Row],[Price]]</f>
        <v>30000</v>
      </c>
      <c r="K152" s="18">
        <f>Table1[[#This Row],[Sales]]*14%</f>
        <v>4200</v>
      </c>
    </row>
    <row r="153" spans="2:11" ht="15" thickBot="1" x14ac:dyDescent="0.35">
      <c r="B153" s="16" t="s">
        <v>217</v>
      </c>
      <c r="C153" s="8">
        <v>46127</v>
      </c>
      <c r="D153" s="3" t="s">
        <v>54</v>
      </c>
      <c r="E153" s="3" t="s">
        <v>17</v>
      </c>
      <c r="F153" s="3" t="s">
        <v>28</v>
      </c>
      <c r="G153" s="3" t="s">
        <v>14</v>
      </c>
      <c r="H153" s="3">
        <v>5</v>
      </c>
      <c r="I153" s="5">
        <v>20900</v>
      </c>
      <c r="J153" s="5">
        <f>Table1[[#This Row],[Quantity]]*Table1[[#This Row],[Price]]</f>
        <v>104500</v>
      </c>
      <c r="K153" s="18">
        <f>Table1[[#This Row],[Sales]]*14%</f>
        <v>14630.000000000002</v>
      </c>
    </row>
    <row r="154" spans="2:11" ht="15" thickBot="1" x14ac:dyDescent="0.35">
      <c r="B154" s="16" t="s">
        <v>218</v>
      </c>
      <c r="C154" s="8">
        <v>46082</v>
      </c>
      <c r="D154" s="3" t="s">
        <v>70</v>
      </c>
      <c r="E154" s="3" t="s">
        <v>12</v>
      </c>
      <c r="F154" s="3" t="s">
        <v>50</v>
      </c>
      <c r="G154" s="3" t="s">
        <v>26</v>
      </c>
      <c r="H154" s="3">
        <v>5</v>
      </c>
      <c r="I154" s="5">
        <v>262.5</v>
      </c>
      <c r="J154" s="5">
        <f>Table1[[#This Row],[Quantity]]*Table1[[#This Row],[Price]]</f>
        <v>1312.5</v>
      </c>
      <c r="K154" s="18">
        <f>Table1[[#This Row],[Sales]]*14%</f>
        <v>183.75000000000003</v>
      </c>
    </row>
    <row r="155" spans="2:11" ht="15" thickBot="1" x14ac:dyDescent="0.35">
      <c r="B155" s="16" t="s">
        <v>219</v>
      </c>
      <c r="C155" s="8">
        <v>46082</v>
      </c>
      <c r="D155" s="3" t="s">
        <v>120</v>
      </c>
      <c r="E155" s="3" t="s">
        <v>43</v>
      </c>
      <c r="F155" s="3" t="s">
        <v>50</v>
      </c>
      <c r="G155" s="3" t="s">
        <v>26</v>
      </c>
      <c r="H155" s="3">
        <v>3</v>
      </c>
      <c r="I155" s="5">
        <v>262.5</v>
      </c>
      <c r="J155" s="5">
        <f>Table1[[#This Row],[Quantity]]*Table1[[#This Row],[Price]]</f>
        <v>787.5</v>
      </c>
      <c r="K155" s="18">
        <f>Table1[[#This Row],[Sales]]*14%</f>
        <v>110.25000000000001</v>
      </c>
    </row>
    <row r="156" spans="2:11" ht="15" thickBot="1" x14ac:dyDescent="0.35">
      <c r="B156" s="16" t="s">
        <v>220</v>
      </c>
      <c r="C156" s="8">
        <v>46162</v>
      </c>
      <c r="D156" s="3" t="s">
        <v>52</v>
      </c>
      <c r="E156" s="3" t="s">
        <v>12</v>
      </c>
      <c r="F156" s="3" t="s">
        <v>44</v>
      </c>
      <c r="G156" s="3" t="s">
        <v>32</v>
      </c>
      <c r="H156" s="3">
        <v>5</v>
      </c>
      <c r="I156" s="5">
        <v>1800</v>
      </c>
      <c r="J156" s="5">
        <f>Table1[[#This Row],[Quantity]]*Table1[[#This Row],[Price]]</f>
        <v>9000</v>
      </c>
      <c r="K156" s="18">
        <f>Table1[[#This Row],[Sales]]*14%</f>
        <v>1260.0000000000002</v>
      </c>
    </row>
    <row r="157" spans="2:11" ht="15" thickBot="1" x14ac:dyDescent="0.35">
      <c r="B157" s="16" t="s">
        <v>221</v>
      </c>
      <c r="C157" s="8">
        <v>46041</v>
      </c>
      <c r="D157" s="3" t="s">
        <v>54</v>
      </c>
      <c r="E157" s="3" t="s">
        <v>17</v>
      </c>
      <c r="F157" s="3" t="s">
        <v>47</v>
      </c>
      <c r="G157" s="3" t="s">
        <v>48</v>
      </c>
      <c r="H157" s="3">
        <v>2</v>
      </c>
      <c r="I157" s="5">
        <v>1800</v>
      </c>
      <c r="J157" s="5">
        <f>Table1[[#This Row],[Quantity]]*Table1[[#This Row],[Price]]</f>
        <v>3600</v>
      </c>
      <c r="K157" s="18">
        <f>Table1[[#This Row],[Sales]]*14%</f>
        <v>504.00000000000006</v>
      </c>
    </row>
    <row r="158" spans="2:11" ht="15" thickBot="1" x14ac:dyDescent="0.35">
      <c r="B158" s="16" t="s">
        <v>222</v>
      </c>
      <c r="C158" s="8">
        <v>46142</v>
      </c>
      <c r="D158" s="3" t="s">
        <v>108</v>
      </c>
      <c r="E158" s="3" t="s">
        <v>83</v>
      </c>
      <c r="F158" s="3" t="s">
        <v>28</v>
      </c>
      <c r="G158" s="3" t="s">
        <v>14</v>
      </c>
      <c r="H158" s="3">
        <v>3</v>
      </c>
      <c r="I158" s="5">
        <v>22000</v>
      </c>
      <c r="J158" s="5">
        <f>Table1[[#This Row],[Quantity]]*Table1[[#This Row],[Price]]</f>
        <v>66000</v>
      </c>
      <c r="K158" s="18">
        <f>Table1[[#This Row],[Sales]]*14%</f>
        <v>9240</v>
      </c>
    </row>
    <row r="159" spans="2:11" ht="15" thickBot="1" x14ac:dyDescent="0.35">
      <c r="B159" s="16" t="s">
        <v>223</v>
      </c>
      <c r="C159" s="8">
        <v>46149</v>
      </c>
      <c r="D159" s="3" t="s">
        <v>124</v>
      </c>
      <c r="E159" s="3" t="s">
        <v>83</v>
      </c>
      <c r="F159" s="3" t="s">
        <v>44</v>
      </c>
      <c r="G159" s="3" t="s">
        <v>32</v>
      </c>
      <c r="H159" s="3">
        <v>4</v>
      </c>
      <c r="I159" s="5">
        <v>1800</v>
      </c>
      <c r="J159" s="5">
        <f>Table1[[#This Row],[Quantity]]*Table1[[#This Row],[Price]]</f>
        <v>7200</v>
      </c>
      <c r="K159" s="18">
        <f>Table1[[#This Row],[Sales]]*14%</f>
        <v>1008.0000000000001</v>
      </c>
    </row>
    <row r="160" spans="2:11" ht="15" thickBot="1" x14ac:dyDescent="0.35">
      <c r="B160" s="16" t="s">
        <v>224</v>
      </c>
      <c r="C160" s="8">
        <v>46105</v>
      </c>
      <c r="D160" s="3" t="s">
        <v>70</v>
      </c>
      <c r="E160" s="3" t="s">
        <v>12</v>
      </c>
      <c r="F160" s="3" t="s">
        <v>13</v>
      </c>
      <c r="G160" s="3" t="s">
        <v>14</v>
      </c>
      <c r="H160" s="3">
        <v>5</v>
      </c>
      <c r="I160" s="5">
        <v>26600</v>
      </c>
      <c r="J160" s="5">
        <f>Table1[[#This Row],[Quantity]]*Table1[[#This Row],[Price]]</f>
        <v>133000</v>
      </c>
      <c r="K160" s="18">
        <f>Table1[[#This Row],[Sales]]*14%</f>
        <v>18620</v>
      </c>
    </row>
    <row r="161" spans="2:11" ht="15" thickBot="1" x14ac:dyDescent="0.35">
      <c r="B161" s="16" t="s">
        <v>225</v>
      </c>
      <c r="C161" s="8">
        <v>46195</v>
      </c>
      <c r="D161" s="3" t="s">
        <v>35</v>
      </c>
      <c r="E161" s="3" t="s">
        <v>36</v>
      </c>
      <c r="F161" s="3" t="s">
        <v>44</v>
      </c>
      <c r="G161" s="3" t="s">
        <v>32</v>
      </c>
      <c r="H161" s="3">
        <v>1</v>
      </c>
      <c r="I161" s="5">
        <v>1710</v>
      </c>
      <c r="J161" s="5">
        <f>Table1[[#This Row],[Quantity]]*Table1[[#This Row],[Price]]</f>
        <v>1710</v>
      </c>
      <c r="K161" s="18">
        <f>Table1[[#This Row],[Sales]]*14%</f>
        <v>239.40000000000003</v>
      </c>
    </row>
    <row r="162" spans="2:11" ht="15" thickBot="1" x14ac:dyDescent="0.35">
      <c r="B162" s="16" t="s">
        <v>226</v>
      </c>
      <c r="C162" s="8">
        <v>46195</v>
      </c>
      <c r="D162" s="3" t="s">
        <v>75</v>
      </c>
      <c r="E162" s="3" t="s">
        <v>12</v>
      </c>
      <c r="F162" s="3" t="s">
        <v>55</v>
      </c>
      <c r="G162" s="3" t="s">
        <v>32</v>
      </c>
      <c r="H162" s="3">
        <v>5</v>
      </c>
      <c r="I162" s="5">
        <v>1140</v>
      </c>
      <c r="J162" s="5">
        <f>Table1[[#This Row],[Quantity]]*Table1[[#This Row],[Price]]</f>
        <v>5700</v>
      </c>
      <c r="K162" s="18">
        <f>Table1[[#This Row],[Sales]]*14%</f>
        <v>798.00000000000011</v>
      </c>
    </row>
    <row r="163" spans="2:11" ht="15" thickBot="1" x14ac:dyDescent="0.35">
      <c r="B163" s="16" t="s">
        <v>227</v>
      </c>
      <c r="C163" s="8">
        <v>46067</v>
      </c>
      <c r="D163" s="3" t="s">
        <v>75</v>
      </c>
      <c r="E163" s="3" t="s">
        <v>12</v>
      </c>
      <c r="F163" s="3" t="s">
        <v>44</v>
      </c>
      <c r="G163" s="3" t="s">
        <v>32</v>
      </c>
      <c r="H163" s="3">
        <v>5</v>
      </c>
      <c r="I163" s="5">
        <v>1710</v>
      </c>
      <c r="J163" s="5">
        <f>Table1[[#This Row],[Quantity]]*Table1[[#This Row],[Price]]</f>
        <v>8550</v>
      </c>
      <c r="K163" s="18">
        <f>Table1[[#This Row],[Sales]]*14%</f>
        <v>1197.0000000000002</v>
      </c>
    </row>
    <row r="164" spans="2:11" ht="15" thickBot="1" x14ac:dyDescent="0.35">
      <c r="B164" s="16" t="s">
        <v>228</v>
      </c>
      <c r="C164" s="8">
        <v>46172</v>
      </c>
      <c r="D164" s="3" t="s">
        <v>211</v>
      </c>
      <c r="E164" s="3" t="s">
        <v>83</v>
      </c>
      <c r="F164" s="3" t="s">
        <v>59</v>
      </c>
      <c r="G164" s="3" t="s">
        <v>60</v>
      </c>
      <c r="H164" s="3">
        <v>4</v>
      </c>
      <c r="I164" s="5">
        <v>8500</v>
      </c>
      <c r="J164" s="5">
        <f>Table1[[#This Row],[Quantity]]*Table1[[#This Row],[Price]]</f>
        <v>34000</v>
      </c>
      <c r="K164" s="18">
        <f>Table1[[#This Row],[Sales]]*14%</f>
        <v>4760</v>
      </c>
    </row>
    <row r="165" spans="2:11" ht="15" thickBot="1" x14ac:dyDescent="0.35">
      <c r="B165" s="16" t="s">
        <v>229</v>
      </c>
      <c r="C165" s="8">
        <v>46127</v>
      </c>
      <c r="D165" s="3" t="s">
        <v>143</v>
      </c>
      <c r="E165" s="3" t="s">
        <v>40</v>
      </c>
      <c r="F165" s="3" t="s">
        <v>47</v>
      </c>
      <c r="G165" s="3" t="s">
        <v>48</v>
      </c>
      <c r="H165" s="3">
        <v>4</v>
      </c>
      <c r="I165" s="5">
        <v>1710</v>
      </c>
      <c r="J165" s="5">
        <f>Table1[[#This Row],[Quantity]]*Table1[[#This Row],[Price]]</f>
        <v>6840</v>
      </c>
      <c r="K165" s="18">
        <f>Table1[[#This Row],[Sales]]*14%</f>
        <v>957.60000000000014</v>
      </c>
    </row>
    <row r="166" spans="2:11" ht="15" thickBot="1" x14ac:dyDescent="0.35">
      <c r="B166" s="16" t="s">
        <v>230</v>
      </c>
      <c r="C166" s="8">
        <v>46200</v>
      </c>
      <c r="D166" s="3" t="s">
        <v>140</v>
      </c>
      <c r="E166" s="3" t="s">
        <v>40</v>
      </c>
      <c r="F166" s="3" t="s">
        <v>31</v>
      </c>
      <c r="G166" s="3" t="s">
        <v>32</v>
      </c>
      <c r="H166" s="3">
        <v>1</v>
      </c>
      <c r="I166" s="5">
        <v>900</v>
      </c>
      <c r="J166" s="5">
        <f>Table1[[#This Row],[Quantity]]*Table1[[#This Row],[Price]]</f>
        <v>900</v>
      </c>
      <c r="K166" s="18">
        <f>Table1[[#This Row],[Sales]]*14%</f>
        <v>126.00000000000001</v>
      </c>
    </row>
    <row r="167" spans="2:11" ht="15" thickBot="1" x14ac:dyDescent="0.35">
      <c r="B167" s="16" t="s">
        <v>231</v>
      </c>
      <c r="C167" s="8">
        <v>46103</v>
      </c>
      <c r="D167" s="3" t="s">
        <v>211</v>
      </c>
      <c r="E167" s="3" t="s">
        <v>83</v>
      </c>
      <c r="F167" s="3" t="s">
        <v>44</v>
      </c>
      <c r="G167" s="3" t="s">
        <v>32</v>
      </c>
      <c r="H167" s="3">
        <v>4</v>
      </c>
      <c r="I167" s="5">
        <v>1710</v>
      </c>
      <c r="J167" s="5">
        <f>Table1[[#This Row],[Quantity]]*Table1[[#This Row],[Price]]</f>
        <v>6840</v>
      </c>
      <c r="K167" s="18">
        <f>Table1[[#This Row],[Sales]]*14%</f>
        <v>957.60000000000014</v>
      </c>
    </row>
    <row r="168" spans="2:11" ht="15" thickBot="1" x14ac:dyDescent="0.35">
      <c r="B168" s="16" t="s">
        <v>232</v>
      </c>
      <c r="C168" s="8">
        <v>46023</v>
      </c>
      <c r="D168" s="3" t="s">
        <v>24</v>
      </c>
      <c r="E168" s="3" t="s">
        <v>12</v>
      </c>
      <c r="F168" s="3" t="s">
        <v>31</v>
      </c>
      <c r="G168" s="3" t="s">
        <v>32</v>
      </c>
      <c r="H168" s="3">
        <v>1</v>
      </c>
      <c r="I168" s="5">
        <v>945</v>
      </c>
      <c r="J168" s="5">
        <f>Table1[[#This Row],[Quantity]]*Table1[[#This Row],[Price]]</f>
        <v>945</v>
      </c>
      <c r="K168" s="18">
        <f>Table1[[#This Row],[Sales]]*14%</f>
        <v>132.30000000000001</v>
      </c>
    </row>
    <row r="169" spans="2:11" ht="15" thickBot="1" x14ac:dyDescent="0.35">
      <c r="B169" s="16" t="s">
        <v>233</v>
      </c>
      <c r="C169" s="8">
        <v>46071</v>
      </c>
      <c r="D169" s="3" t="s">
        <v>39</v>
      </c>
      <c r="E169" s="3" t="s">
        <v>40</v>
      </c>
      <c r="F169" s="3" t="s">
        <v>55</v>
      </c>
      <c r="G169" s="3" t="s">
        <v>32</v>
      </c>
      <c r="H169" s="3">
        <v>5</v>
      </c>
      <c r="I169" s="5">
        <v>1260</v>
      </c>
      <c r="J169" s="5">
        <f>Table1[[#This Row],[Quantity]]*Table1[[#This Row],[Price]]</f>
        <v>6300</v>
      </c>
      <c r="K169" s="18">
        <f>Table1[[#This Row],[Sales]]*14%</f>
        <v>882.00000000000011</v>
      </c>
    </row>
    <row r="170" spans="2:11" ht="15" thickBot="1" x14ac:dyDescent="0.35">
      <c r="B170" s="16" t="s">
        <v>234</v>
      </c>
      <c r="C170" s="8">
        <v>46036</v>
      </c>
      <c r="D170" s="3" t="s">
        <v>65</v>
      </c>
      <c r="E170" s="3" t="s">
        <v>12</v>
      </c>
      <c r="F170" s="3" t="s">
        <v>31</v>
      </c>
      <c r="G170" s="3" t="s">
        <v>32</v>
      </c>
      <c r="H170" s="3">
        <v>5</v>
      </c>
      <c r="I170" s="5">
        <v>945</v>
      </c>
      <c r="J170" s="5">
        <f>Table1[[#This Row],[Quantity]]*Table1[[#This Row],[Price]]</f>
        <v>4725</v>
      </c>
      <c r="K170" s="18">
        <f>Table1[[#This Row],[Sales]]*14%</f>
        <v>661.50000000000011</v>
      </c>
    </row>
    <row r="171" spans="2:11" ht="15" thickBot="1" x14ac:dyDescent="0.35">
      <c r="B171" s="16" t="s">
        <v>235</v>
      </c>
      <c r="C171" s="8">
        <v>46135</v>
      </c>
      <c r="D171" s="3" t="s">
        <v>46</v>
      </c>
      <c r="E171" s="3" t="s">
        <v>36</v>
      </c>
      <c r="F171" s="3" t="s">
        <v>44</v>
      </c>
      <c r="G171" s="3" t="s">
        <v>32</v>
      </c>
      <c r="H171" s="3">
        <v>5</v>
      </c>
      <c r="I171" s="5">
        <v>1800</v>
      </c>
      <c r="J171" s="5">
        <f>Table1[[#This Row],[Quantity]]*Table1[[#This Row],[Price]]</f>
        <v>9000</v>
      </c>
      <c r="K171" s="18">
        <f>Table1[[#This Row],[Sales]]*14%</f>
        <v>1260.0000000000002</v>
      </c>
    </row>
    <row r="172" spans="2:11" ht="15" thickBot="1" x14ac:dyDescent="0.35">
      <c r="B172" s="16" t="s">
        <v>236</v>
      </c>
      <c r="C172" s="8">
        <v>46184</v>
      </c>
      <c r="D172" s="3" t="s">
        <v>62</v>
      </c>
      <c r="E172" s="3" t="s">
        <v>40</v>
      </c>
      <c r="F172" s="3" t="s">
        <v>50</v>
      </c>
      <c r="G172" s="3" t="s">
        <v>26</v>
      </c>
      <c r="H172" s="3">
        <v>4</v>
      </c>
      <c r="I172" s="5">
        <v>237.5</v>
      </c>
      <c r="J172" s="5">
        <f>Table1[[#This Row],[Quantity]]*Table1[[#This Row],[Price]]</f>
        <v>950</v>
      </c>
      <c r="K172" s="18">
        <f>Table1[[#This Row],[Sales]]*14%</f>
        <v>133</v>
      </c>
    </row>
    <row r="173" spans="2:11" ht="15" thickBot="1" x14ac:dyDescent="0.35">
      <c r="B173" s="16" t="s">
        <v>237</v>
      </c>
      <c r="C173" s="8">
        <v>46026</v>
      </c>
      <c r="D173" s="3" t="s">
        <v>35</v>
      </c>
      <c r="E173" s="3" t="s">
        <v>36</v>
      </c>
      <c r="F173" s="3" t="s">
        <v>25</v>
      </c>
      <c r="G173" s="3" t="s">
        <v>26</v>
      </c>
      <c r="H173" s="3">
        <v>2</v>
      </c>
      <c r="I173" s="5">
        <v>350</v>
      </c>
      <c r="J173" s="5">
        <f>Table1[[#This Row],[Quantity]]*Table1[[#This Row],[Price]]</f>
        <v>700</v>
      </c>
      <c r="K173" s="18">
        <f>Table1[[#This Row],[Sales]]*14%</f>
        <v>98.000000000000014</v>
      </c>
    </row>
    <row r="174" spans="2:11" ht="15" thickBot="1" x14ac:dyDescent="0.35">
      <c r="B174" s="16" t="s">
        <v>238</v>
      </c>
      <c r="C174" s="8">
        <v>46052</v>
      </c>
      <c r="D174" s="3" t="s">
        <v>21</v>
      </c>
      <c r="E174" s="3" t="s">
        <v>17</v>
      </c>
      <c r="F174" s="3" t="s">
        <v>94</v>
      </c>
      <c r="G174" s="3" t="s">
        <v>32</v>
      </c>
      <c r="H174" s="3">
        <v>1</v>
      </c>
      <c r="I174" s="5">
        <v>2500</v>
      </c>
      <c r="J174" s="5">
        <f>Table1[[#This Row],[Quantity]]*Table1[[#This Row],[Price]]</f>
        <v>2500</v>
      </c>
      <c r="K174" s="18">
        <f>Table1[[#This Row],[Sales]]*14%</f>
        <v>350.00000000000006</v>
      </c>
    </row>
    <row r="175" spans="2:11" ht="15" thickBot="1" x14ac:dyDescent="0.35">
      <c r="B175" s="16" t="s">
        <v>239</v>
      </c>
      <c r="C175" s="8">
        <v>46097</v>
      </c>
      <c r="D175" s="3" t="s">
        <v>70</v>
      </c>
      <c r="E175" s="3" t="s">
        <v>12</v>
      </c>
      <c r="F175" s="3" t="s">
        <v>13</v>
      </c>
      <c r="G175" s="3" t="s">
        <v>14</v>
      </c>
      <c r="H175" s="3">
        <v>2</v>
      </c>
      <c r="I175" s="5">
        <v>29400</v>
      </c>
      <c r="J175" s="5">
        <f>Table1[[#This Row],[Quantity]]*Table1[[#This Row],[Price]]</f>
        <v>58800</v>
      </c>
      <c r="K175" s="18">
        <f>Table1[[#This Row],[Sales]]*14%</f>
        <v>8232</v>
      </c>
    </row>
    <row r="176" spans="2:11" ht="15" thickBot="1" x14ac:dyDescent="0.35">
      <c r="B176" s="16" t="s">
        <v>240</v>
      </c>
      <c r="C176" s="8">
        <v>46143</v>
      </c>
      <c r="D176" s="3" t="s">
        <v>65</v>
      </c>
      <c r="E176" s="3" t="s">
        <v>12</v>
      </c>
      <c r="F176" s="3" t="s">
        <v>50</v>
      </c>
      <c r="G176" s="3" t="s">
        <v>26</v>
      </c>
      <c r="H176" s="3">
        <v>3</v>
      </c>
      <c r="I176" s="5">
        <v>262.5</v>
      </c>
      <c r="J176" s="5">
        <f>Table1[[#This Row],[Quantity]]*Table1[[#This Row],[Price]]</f>
        <v>787.5</v>
      </c>
      <c r="K176" s="18">
        <f>Table1[[#This Row],[Sales]]*14%</f>
        <v>110.25000000000001</v>
      </c>
    </row>
    <row r="177" spans="2:11" ht="15" thickBot="1" x14ac:dyDescent="0.35">
      <c r="B177" s="16" t="s">
        <v>241</v>
      </c>
      <c r="C177" s="8">
        <v>46176</v>
      </c>
      <c r="D177" s="3" t="s">
        <v>54</v>
      </c>
      <c r="E177" s="3" t="s">
        <v>17</v>
      </c>
      <c r="F177" s="3" t="s">
        <v>66</v>
      </c>
      <c r="G177" s="3" t="s">
        <v>67</v>
      </c>
      <c r="H177" s="9">
        <v>5</v>
      </c>
      <c r="I177" s="5">
        <v>12000</v>
      </c>
      <c r="J177" s="5">
        <f>Table1[[#This Row],[Quantity]]*Table1[[#This Row],[Price]]</f>
        <v>60000</v>
      </c>
      <c r="K177" s="18">
        <f>Table1[[#This Row],[Sales]]*14%</f>
        <v>8400</v>
      </c>
    </row>
    <row r="178" spans="2:11" ht="15" thickBot="1" x14ac:dyDescent="0.35">
      <c r="B178" s="16" t="s">
        <v>242</v>
      </c>
      <c r="C178" s="8">
        <v>46129</v>
      </c>
      <c r="D178" s="3" t="s">
        <v>65</v>
      </c>
      <c r="E178" s="3" t="s">
        <v>12</v>
      </c>
      <c r="F178" s="3" t="s">
        <v>50</v>
      </c>
      <c r="G178" s="3" t="s">
        <v>26</v>
      </c>
      <c r="H178" s="9">
        <v>2</v>
      </c>
      <c r="I178" s="5">
        <v>237.5</v>
      </c>
      <c r="J178" s="5">
        <f>Table1[[#This Row],[Quantity]]*Table1[[#This Row],[Price]]</f>
        <v>475</v>
      </c>
      <c r="K178" s="18">
        <f>Table1[[#This Row],[Sales]]*14%</f>
        <v>66.5</v>
      </c>
    </row>
    <row r="179" spans="2:11" ht="15" thickBot="1" x14ac:dyDescent="0.35">
      <c r="B179" s="16" t="s">
        <v>243</v>
      </c>
      <c r="C179" s="8">
        <v>46095</v>
      </c>
      <c r="D179" s="3" t="s">
        <v>140</v>
      </c>
      <c r="E179" s="3" t="s">
        <v>40</v>
      </c>
      <c r="F179" s="3" t="s">
        <v>37</v>
      </c>
      <c r="G179" s="3" t="s">
        <v>14</v>
      </c>
      <c r="H179" s="9">
        <v>5</v>
      </c>
      <c r="I179" s="5">
        <v>2200</v>
      </c>
      <c r="J179" s="5">
        <f>Table1[[#This Row],[Quantity]]*Table1[[#This Row],[Price]]</f>
        <v>11000</v>
      </c>
      <c r="K179" s="18">
        <f>Table1[[#This Row],[Sales]]*14%</f>
        <v>1540.0000000000002</v>
      </c>
    </row>
    <row r="180" spans="2:11" ht="15" thickBot="1" x14ac:dyDescent="0.35">
      <c r="B180" s="16" t="s">
        <v>244</v>
      </c>
      <c r="C180" s="8">
        <v>46137</v>
      </c>
      <c r="D180" s="3" t="s">
        <v>16</v>
      </c>
      <c r="E180" s="3" t="s">
        <v>17</v>
      </c>
      <c r="F180" s="3" t="s">
        <v>44</v>
      </c>
      <c r="G180" s="3" t="s">
        <v>32</v>
      </c>
      <c r="H180" s="9">
        <v>5</v>
      </c>
      <c r="I180" s="5">
        <v>1890</v>
      </c>
      <c r="J180" s="5">
        <f>Table1[[#This Row],[Quantity]]*Table1[[#This Row],[Price]]</f>
        <v>9450</v>
      </c>
      <c r="K180" s="18">
        <f>Table1[[#This Row],[Sales]]*14%</f>
        <v>1323.0000000000002</v>
      </c>
    </row>
    <row r="181" spans="2:11" ht="15" thickBot="1" x14ac:dyDescent="0.35">
      <c r="B181" s="16" t="s">
        <v>245</v>
      </c>
      <c r="C181" s="8">
        <v>46162</v>
      </c>
      <c r="D181" s="3" t="s">
        <v>21</v>
      </c>
      <c r="E181" s="3" t="s">
        <v>17</v>
      </c>
      <c r="F181" s="3" t="s">
        <v>66</v>
      </c>
      <c r="G181" s="3" t="s">
        <v>67</v>
      </c>
      <c r="H181" s="9">
        <v>3</v>
      </c>
      <c r="I181" s="5">
        <v>12000</v>
      </c>
      <c r="J181" s="5">
        <f>Table1[[#This Row],[Quantity]]*Table1[[#This Row],[Price]]</f>
        <v>36000</v>
      </c>
      <c r="K181" s="18">
        <f>Table1[[#This Row],[Sales]]*14%</f>
        <v>5040.0000000000009</v>
      </c>
    </row>
    <row r="182" spans="2:11" ht="15" thickBot="1" x14ac:dyDescent="0.35">
      <c r="B182" s="16" t="s">
        <v>246</v>
      </c>
      <c r="C182" s="8">
        <v>46084</v>
      </c>
      <c r="D182" s="3" t="s">
        <v>42</v>
      </c>
      <c r="E182" s="3" t="s">
        <v>43</v>
      </c>
      <c r="F182" s="3" t="s">
        <v>66</v>
      </c>
      <c r="G182" s="3" t="s">
        <v>67</v>
      </c>
      <c r="H182" s="9">
        <v>3</v>
      </c>
      <c r="I182" s="5">
        <v>12000</v>
      </c>
      <c r="J182" s="5">
        <f>Table1[[#This Row],[Quantity]]*Table1[[#This Row],[Price]]</f>
        <v>36000</v>
      </c>
      <c r="K182" s="18">
        <f>Table1[[#This Row],[Sales]]*14%</f>
        <v>5040.0000000000009</v>
      </c>
    </row>
    <row r="183" spans="2:11" ht="15" thickBot="1" x14ac:dyDescent="0.35">
      <c r="B183" s="16" t="s">
        <v>247</v>
      </c>
      <c r="C183" s="8">
        <v>46144</v>
      </c>
      <c r="D183" s="3" t="s">
        <v>157</v>
      </c>
      <c r="E183" s="3" t="s">
        <v>43</v>
      </c>
      <c r="F183" s="3" t="s">
        <v>94</v>
      </c>
      <c r="G183" s="3" t="s">
        <v>32</v>
      </c>
      <c r="H183" s="9">
        <v>2</v>
      </c>
      <c r="I183" s="5">
        <v>2625</v>
      </c>
      <c r="J183" s="5">
        <f>Table1[[#This Row],[Quantity]]*Table1[[#This Row],[Price]]</f>
        <v>5250</v>
      </c>
      <c r="K183" s="18">
        <f>Table1[[#This Row],[Sales]]*14%</f>
        <v>735.00000000000011</v>
      </c>
    </row>
    <row r="184" spans="2:11" ht="15" thickBot="1" x14ac:dyDescent="0.35">
      <c r="B184" s="16" t="s">
        <v>248</v>
      </c>
      <c r="C184" s="8">
        <v>46189</v>
      </c>
      <c r="D184" s="3" t="s">
        <v>124</v>
      </c>
      <c r="E184" s="3" t="s">
        <v>83</v>
      </c>
      <c r="F184" s="3" t="s">
        <v>37</v>
      </c>
      <c r="G184" s="3" t="s">
        <v>14</v>
      </c>
      <c r="H184" s="9">
        <v>4</v>
      </c>
      <c r="I184" s="5">
        <v>2310</v>
      </c>
      <c r="J184" s="5">
        <f>Table1[[#This Row],[Quantity]]*Table1[[#This Row],[Price]]</f>
        <v>9240</v>
      </c>
      <c r="K184" s="18">
        <f>Table1[[#This Row],[Sales]]*14%</f>
        <v>1293.6000000000001</v>
      </c>
    </row>
    <row r="185" spans="2:11" ht="15" thickBot="1" x14ac:dyDescent="0.35">
      <c r="B185" s="16" t="s">
        <v>249</v>
      </c>
      <c r="C185" s="8">
        <v>46174</v>
      </c>
      <c r="D185" s="3" t="s">
        <v>176</v>
      </c>
      <c r="E185" s="3" t="s">
        <v>12</v>
      </c>
      <c r="F185" s="3" t="s">
        <v>66</v>
      </c>
      <c r="G185" s="3" t="s">
        <v>67</v>
      </c>
      <c r="H185" s="9">
        <v>1</v>
      </c>
      <c r="I185" s="5">
        <v>12000</v>
      </c>
      <c r="J185" s="5">
        <f>Table1[[#This Row],[Quantity]]*Table1[[#This Row],[Price]]</f>
        <v>12000</v>
      </c>
      <c r="K185" s="18">
        <f>Table1[[#This Row],[Sales]]*14%</f>
        <v>1680.0000000000002</v>
      </c>
    </row>
    <row r="186" spans="2:11" ht="15" thickBot="1" x14ac:dyDescent="0.35">
      <c r="B186" s="16" t="s">
        <v>250</v>
      </c>
      <c r="C186" s="8">
        <v>46139</v>
      </c>
      <c r="D186" s="3" t="s">
        <v>140</v>
      </c>
      <c r="E186" s="3" t="s">
        <v>40</v>
      </c>
      <c r="F186" s="3" t="s">
        <v>55</v>
      </c>
      <c r="G186" s="3" t="s">
        <v>32</v>
      </c>
      <c r="H186" s="9">
        <v>1</v>
      </c>
      <c r="I186" s="5">
        <v>1260</v>
      </c>
      <c r="J186" s="5">
        <f>Table1[[#This Row],[Quantity]]*Table1[[#This Row],[Price]]</f>
        <v>1260</v>
      </c>
      <c r="K186" s="18">
        <f>Table1[[#This Row],[Sales]]*14%</f>
        <v>176.4</v>
      </c>
    </row>
    <row r="187" spans="2:11" ht="15" thickBot="1" x14ac:dyDescent="0.35">
      <c r="B187" s="16" t="s">
        <v>251</v>
      </c>
      <c r="C187" s="8">
        <v>46062</v>
      </c>
      <c r="D187" s="3" t="s">
        <v>19</v>
      </c>
      <c r="E187" s="3" t="s">
        <v>12</v>
      </c>
      <c r="F187" s="3" t="s">
        <v>50</v>
      </c>
      <c r="G187" s="3" t="s">
        <v>26</v>
      </c>
      <c r="H187" s="9">
        <v>2</v>
      </c>
      <c r="I187" s="5">
        <v>262.5</v>
      </c>
      <c r="J187" s="5">
        <f>Table1[[#This Row],[Quantity]]*Table1[[#This Row],[Price]]</f>
        <v>525</v>
      </c>
      <c r="K187" s="18">
        <f>Table1[[#This Row],[Sales]]*14%</f>
        <v>73.5</v>
      </c>
    </row>
    <row r="188" spans="2:11" ht="15" thickBot="1" x14ac:dyDescent="0.35">
      <c r="B188" s="16" t="s">
        <v>252</v>
      </c>
      <c r="C188" s="8">
        <v>46124</v>
      </c>
      <c r="D188" s="3" t="s">
        <v>87</v>
      </c>
      <c r="E188" s="3" t="s">
        <v>12</v>
      </c>
      <c r="F188" s="3" t="s">
        <v>66</v>
      </c>
      <c r="G188" s="3" t="s">
        <v>67</v>
      </c>
      <c r="H188" s="9">
        <v>3</v>
      </c>
      <c r="I188" s="5">
        <v>12000</v>
      </c>
      <c r="J188" s="5">
        <f>Table1[[#This Row],[Quantity]]*Table1[[#This Row],[Price]]</f>
        <v>36000</v>
      </c>
      <c r="K188" s="18">
        <f>Table1[[#This Row],[Sales]]*14%</f>
        <v>5040.0000000000009</v>
      </c>
    </row>
    <row r="189" spans="2:11" ht="15" thickBot="1" x14ac:dyDescent="0.35">
      <c r="B189" s="16" t="s">
        <v>253</v>
      </c>
      <c r="C189" s="8">
        <v>46183</v>
      </c>
      <c r="D189" s="3" t="s">
        <v>11</v>
      </c>
      <c r="E189" s="3" t="s">
        <v>12</v>
      </c>
      <c r="F189" s="3" t="s">
        <v>13</v>
      </c>
      <c r="G189" s="3" t="s">
        <v>14</v>
      </c>
      <c r="H189" s="9">
        <v>3</v>
      </c>
      <c r="I189" s="5">
        <v>29400</v>
      </c>
      <c r="J189" s="5">
        <f>Table1[[#This Row],[Quantity]]*Table1[[#This Row],[Price]]</f>
        <v>88200</v>
      </c>
      <c r="K189" s="18">
        <f>Table1[[#This Row],[Sales]]*14%</f>
        <v>12348.000000000002</v>
      </c>
    </row>
    <row r="190" spans="2:11" ht="15" thickBot="1" x14ac:dyDescent="0.35">
      <c r="B190" s="16" t="s">
        <v>254</v>
      </c>
      <c r="C190" s="8">
        <v>46083</v>
      </c>
      <c r="D190" s="3" t="s">
        <v>124</v>
      </c>
      <c r="E190" s="3" t="s">
        <v>83</v>
      </c>
      <c r="F190" s="3" t="s">
        <v>37</v>
      </c>
      <c r="G190" s="3" t="s">
        <v>14</v>
      </c>
      <c r="H190" s="9">
        <v>4</v>
      </c>
      <c r="I190" s="5">
        <v>2090</v>
      </c>
      <c r="J190" s="5">
        <f>Table1[[#This Row],[Quantity]]*Table1[[#This Row],[Price]]</f>
        <v>8360</v>
      </c>
      <c r="K190" s="18">
        <f>Table1[[#This Row],[Sales]]*14%</f>
        <v>1170.4000000000001</v>
      </c>
    </row>
    <row r="191" spans="2:11" ht="15" thickBot="1" x14ac:dyDescent="0.35">
      <c r="B191" s="16" t="s">
        <v>255</v>
      </c>
      <c r="C191" s="8">
        <v>46134</v>
      </c>
      <c r="D191" s="3" t="s">
        <v>11</v>
      </c>
      <c r="E191" s="3" t="s">
        <v>12</v>
      </c>
      <c r="F191" s="3" t="s">
        <v>47</v>
      </c>
      <c r="G191" s="3" t="s">
        <v>48</v>
      </c>
      <c r="H191" s="9">
        <v>3</v>
      </c>
      <c r="I191" s="5">
        <v>1800</v>
      </c>
      <c r="J191" s="5">
        <f>Table1[[#This Row],[Quantity]]*Table1[[#This Row],[Price]]</f>
        <v>5400</v>
      </c>
      <c r="K191" s="18">
        <f>Table1[[#This Row],[Sales]]*14%</f>
        <v>756.00000000000011</v>
      </c>
    </row>
    <row r="192" spans="2:11" ht="15" thickBot="1" x14ac:dyDescent="0.35">
      <c r="B192" s="16" t="s">
        <v>256</v>
      </c>
      <c r="C192" s="8">
        <v>46099</v>
      </c>
      <c r="D192" s="3" t="s">
        <v>30</v>
      </c>
      <c r="E192" s="3" t="s">
        <v>17</v>
      </c>
      <c r="F192" s="3" t="s">
        <v>25</v>
      </c>
      <c r="G192" s="3" t="s">
        <v>26</v>
      </c>
      <c r="H192" s="9">
        <v>1</v>
      </c>
      <c r="I192" s="5">
        <v>367.5</v>
      </c>
      <c r="J192" s="5">
        <f>Table1[[#This Row],[Quantity]]*Table1[[#This Row],[Price]]</f>
        <v>367.5</v>
      </c>
      <c r="K192" s="18">
        <f>Table1[[#This Row],[Sales]]*14%</f>
        <v>51.45</v>
      </c>
    </row>
    <row r="193" spans="2:11" ht="15" thickBot="1" x14ac:dyDescent="0.35">
      <c r="B193" s="16" t="s">
        <v>257</v>
      </c>
      <c r="C193" s="8">
        <v>46098</v>
      </c>
      <c r="D193" s="3" t="s">
        <v>62</v>
      </c>
      <c r="E193" s="3" t="s">
        <v>40</v>
      </c>
      <c r="F193" s="3" t="s">
        <v>102</v>
      </c>
      <c r="G193" s="3" t="s">
        <v>14</v>
      </c>
      <c r="H193" s="9">
        <v>1</v>
      </c>
      <c r="I193" s="5">
        <v>55000</v>
      </c>
      <c r="J193" s="5">
        <f>Table1[[#This Row],[Quantity]]*Table1[[#This Row],[Price]]</f>
        <v>55000</v>
      </c>
      <c r="K193" s="18">
        <f>Table1[[#This Row],[Sales]]*14%</f>
        <v>7700.0000000000009</v>
      </c>
    </row>
    <row r="194" spans="2:11" ht="15" thickBot="1" x14ac:dyDescent="0.35">
      <c r="B194" s="16" t="s">
        <v>258</v>
      </c>
      <c r="C194" s="8">
        <v>46128</v>
      </c>
      <c r="D194" s="3" t="s">
        <v>96</v>
      </c>
      <c r="E194" s="3" t="s">
        <v>83</v>
      </c>
      <c r="F194" s="3" t="s">
        <v>31</v>
      </c>
      <c r="G194" s="3" t="s">
        <v>32</v>
      </c>
      <c r="H194" s="9">
        <v>4</v>
      </c>
      <c r="I194" s="5">
        <v>900</v>
      </c>
      <c r="J194" s="5">
        <f>Table1[[#This Row],[Quantity]]*Table1[[#This Row],[Price]]</f>
        <v>3600</v>
      </c>
      <c r="K194" s="18">
        <f>Table1[[#This Row],[Sales]]*14%</f>
        <v>504.00000000000006</v>
      </c>
    </row>
    <row r="195" spans="2:11" ht="15" thickBot="1" x14ac:dyDescent="0.35">
      <c r="B195" s="16" t="s">
        <v>259</v>
      </c>
      <c r="C195" s="8">
        <v>46179</v>
      </c>
      <c r="D195" s="3" t="s">
        <v>157</v>
      </c>
      <c r="E195" s="3" t="s">
        <v>43</v>
      </c>
      <c r="F195" s="3" t="s">
        <v>47</v>
      </c>
      <c r="G195" s="3" t="s">
        <v>48</v>
      </c>
      <c r="H195" s="9">
        <v>2</v>
      </c>
      <c r="I195" s="5">
        <v>1800</v>
      </c>
      <c r="J195" s="5">
        <f>Table1[[#This Row],[Quantity]]*Table1[[#This Row],[Price]]</f>
        <v>3600</v>
      </c>
      <c r="K195" s="18">
        <f>Table1[[#This Row],[Sales]]*14%</f>
        <v>504.00000000000006</v>
      </c>
    </row>
    <row r="196" spans="2:11" ht="15" thickBot="1" x14ac:dyDescent="0.35">
      <c r="B196" s="16" t="s">
        <v>260</v>
      </c>
      <c r="C196" s="8">
        <v>46172</v>
      </c>
      <c r="D196" s="3" t="s">
        <v>90</v>
      </c>
      <c r="E196" s="3" t="s">
        <v>83</v>
      </c>
      <c r="F196" s="3" t="s">
        <v>94</v>
      </c>
      <c r="G196" s="3" t="s">
        <v>32</v>
      </c>
      <c r="H196" s="9">
        <v>5</v>
      </c>
      <c r="I196" s="5">
        <v>2500</v>
      </c>
      <c r="J196" s="5">
        <f>Table1[[#This Row],[Quantity]]*Table1[[#This Row],[Price]]</f>
        <v>12500</v>
      </c>
      <c r="K196" s="18">
        <f>Table1[[#This Row],[Sales]]*14%</f>
        <v>1750.0000000000002</v>
      </c>
    </row>
    <row r="197" spans="2:11" ht="15" thickBot="1" x14ac:dyDescent="0.35">
      <c r="B197" s="16" t="s">
        <v>261</v>
      </c>
      <c r="C197" s="8">
        <v>46193</v>
      </c>
      <c r="D197" s="3" t="s">
        <v>176</v>
      </c>
      <c r="E197" s="3" t="s">
        <v>12</v>
      </c>
      <c r="F197" s="3" t="s">
        <v>22</v>
      </c>
      <c r="G197" s="3" t="s">
        <v>14</v>
      </c>
      <c r="H197" s="9">
        <v>4</v>
      </c>
      <c r="I197" s="5">
        <v>15000</v>
      </c>
      <c r="J197" s="5">
        <f>Table1[[#This Row],[Quantity]]*Table1[[#This Row],[Price]]</f>
        <v>60000</v>
      </c>
      <c r="K197" s="18">
        <f>Table1[[#This Row],[Sales]]*14%</f>
        <v>8400</v>
      </c>
    </row>
    <row r="198" spans="2:11" ht="15" thickBot="1" x14ac:dyDescent="0.35">
      <c r="B198" s="16" t="s">
        <v>262</v>
      </c>
      <c r="C198" s="8">
        <v>46063</v>
      </c>
      <c r="D198" s="3" t="s">
        <v>19</v>
      </c>
      <c r="E198" s="3" t="s">
        <v>12</v>
      </c>
      <c r="F198" s="3" t="s">
        <v>37</v>
      </c>
      <c r="G198" s="3" t="s">
        <v>14</v>
      </c>
      <c r="H198" s="9">
        <v>4</v>
      </c>
      <c r="I198" s="5">
        <v>2200</v>
      </c>
      <c r="J198" s="5">
        <f>Table1[[#This Row],[Quantity]]*Table1[[#This Row],[Price]]</f>
        <v>8800</v>
      </c>
      <c r="K198" s="18">
        <f>Table1[[#This Row],[Sales]]*14%</f>
        <v>1232.0000000000002</v>
      </c>
    </row>
    <row r="199" spans="2:11" ht="15" thickBot="1" x14ac:dyDescent="0.35">
      <c r="B199" s="16" t="s">
        <v>263</v>
      </c>
      <c r="C199" s="8">
        <v>46131</v>
      </c>
      <c r="D199" s="3" t="s">
        <v>87</v>
      </c>
      <c r="E199" s="3" t="s">
        <v>12</v>
      </c>
      <c r="F199" s="3" t="s">
        <v>66</v>
      </c>
      <c r="G199" s="3" t="s">
        <v>67</v>
      </c>
      <c r="H199" s="9">
        <v>3</v>
      </c>
      <c r="I199" s="5">
        <v>12000</v>
      </c>
      <c r="J199" s="5">
        <f>Table1[[#This Row],[Quantity]]*Table1[[#This Row],[Price]]</f>
        <v>36000</v>
      </c>
      <c r="K199" s="18">
        <f>Table1[[#This Row],[Sales]]*14%</f>
        <v>5040.0000000000009</v>
      </c>
    </row>
    <row r="200" spans="2:11" ht="15" thickBot="1" x14ac:dyDescent="0.35">
      <c r="B200" s="16" t="s">
        <v>264</v>
      </c>
      <c r="C200" s="8">
        <v>46121</v>
      </c>
      <c r="D200" s="3" t="s">
        <v>124</v>
      </c>
      <c r="E200" s="3" t="s">
        <v>83</v>
      </c>
      <c r="F200" s="3" t="s">
        <v>44</v>
      </c>
      <c r="G200" s="3" t="s">
        <v>32</v>
      </c>
      <c r="H200" s="9">
        <v>4</v>
      </c>
      <c r="I200" s="5">
        <v>1800</v>
      </c>
      <c r="J200" s="5">
        <f>Table1[[#This Row],[Quantity]]*Table1[[#This Row],[Price]]</f>
        <v>7200</v>
      </c>
      <c r="K200" s="18">
        <f>Table1[[#This Row],[Sales]]*14%</f>
        <v>1008.0000000000001</v>
      </c>
    </row>
    <row r="201" spans="2:11" ht="15" thickBot="1" x14ac:dyDescent="0.35">
      <c r="B201" s="16" t="s">
        <v>265</v>
      </c>
      <c r="C201" s="8">
        <v>46114</v>
      </c>
      <c r="D201" s="3" t="s">
        <v>90</v>
      </c>
      <c r="E201" s="3" t="s">
        <v>83</v>
      </c>
      <c r="F201" s="3" t="s">
        <v>66</v>
      </c>
      <c r="G201" s="3" t="s">
        <v>67</v>
      </c>
      <c r="H201" s="9">
        <v>1</v>
      </c>
      <c r="I201" s="5">
        <v>12000</v>
      </c>
      <c r="J201" s="5">
        <f>Table1[[#This Row],[Quantity]]*Table1[[#This Row],[Price]]</f>
        <v>12000</v>
      </c>
      <c r="K201" s="18">
        <f>Table1[[#This Row],[Sales]]*14%</f>
        <v>1680.0000000000002</v>
      </c>
    </row>
    <row r="202" spans="2:11" x14ac:dyDescent="0.3">
      <c r="B202" s="16" t="s">
        <v>266</v>
      </c>
      <c r="C202" s="8">
        <v>46191</v>
      </c>
      <c r="D202" s="3" t="s">
        <v>157</v>
      </c>
      <c r="E202" s="3" t="s">
        <v>43</v>
      </c>
      <c r="F202" s="3" t="s">
        <v>44</v>
      </c>
      <c r="G202" s="3" t="s">
        <v>32</v>
      </c>
      <c r="H202" s="9">
        <v>3</v>
      </c>
      <c r="I202" s="5">
        <v>1710</v>
      </c>
      <c r="J202" s="5">
        <f>Table1[[#This Row],[Quantity]]*Table1[[#This Row],[Price]]</f>
        <v>5130</v>
      </c>
      <c r="K202" s="18">
        <f>Table1[[#This Row],[Sales]]*14%</f>
        <v>718.2</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C0A54-4E44-4413-AC47-B11306A8DE76}">
  <dimension ref="A1:AA39"/>
  <sheetViews>
    <sheetView showGridLines="0" zoomScale="57" zoomScaleNormal="60" workbookViewId="0">
      <selection activeCell="O39" sqref="O39"/>
    </sheetView>
  </sheetViews>
  <sheetFormatPr defaultRowHeight="14.4" x14ac:dyDescent="0.3"/>
  <cols>
    <col min="3" max="3" width="16.77734375" bestFit="1" customWidth="1"/>
    <col min="4" max="4" width="11.6640625" bestFit="1" customWidth="1"/>
    <col min="5" max="5" width="15.109375" customWidth="1"/>
    <col min="6" max="6" width="11.21875" customWidth="1"/>
    <col min="7" max="7" width="18.44140625" bestFit="1" customWidth="1"/>
    <col min="8" max="8" width="16.6640625" bestFit="1" customWidth="1"/>
    <col min="9" max="9" width="12.6640625" customWidth="1"/>
    <col min="11" max="11" width="19.88671875" bestFit="1" customWidth="1"/>
    <col min="12" max="12" width="16.44140625" bestFit="1" customWidth="1"/>
    <col min="13" max="13" width="13.6640625" customWidth="1"/>
    <col min="15" max="15" width="18.44140625" bestFit="1" customWidth="1"/>
    <col min="16" max="16" width="17.109375" bestFit="1" customWidth="1"/>
    <col min="17" max="17" width="12.109375" bestFit="1" customWidth="1"/>
    <col min="19" max="19" width="18.44140625" bestFit="1" customWidth="1"/>
    <col min="20" max="20" width="12.109375" bestFit="1" customWidth="1"/>
    <col min="21" max="21" width="16.44140625" bestFit="1" customWidth="1"/>
    <col min="26" max="26" width="17.33203125" bestFit="1" customWidth="1"/>
    <col min="27" max="27" width="16.44140625" bestFit="1" customWidth="1"/>
  </cols>
  <sheetData>
    <row r="1" spans="1:27" ht="22.8" x14ac:dyDescent="0.45">
      <c r="A1" s="6" t="s">
        <v>277</v>
      </c>
      <c r="B1" s="6"/>
      <c r="C1" s="6"/>
      <c r="D1" s="7"/>
    </row>
    <row r="3" spans="1:27" x14ac:dyDescent="0.3">
      <c r="C3" s="2" t="s">
        <v>278</v>
      </c>
      <c r="D3" s="3" t="s">
        <v>267</v>
      </c>
      <c r="G3" s="2" t="s">
        <v>5</v>
      </c>
      <c r="H3" s="3" t="s">
        <v>267</v>
      </c>
      <c r="K3" s="2" t="s">
        <v>3</v>
      </c>
      <c r="L3" s="3" t="s">
        <v>267</v>
      </c>
      <c r="O3" s="2" t="s">
        <v>5</v>
      </c>
      <c r="P3" s="3" t="s">
        <v>276</v>
      </c>
      <c r="S3" s="2" t="s">
        <v>5</v>
      </c>
      <c r="T3" s="3" t="s">
        <v>276</v>
      </c>
      <c r="U3" s="3" t="s">
        <v>267</v>
      </c>
      <c r="Z3" s="2" t="s">
        <v>4</v>
      </c>
      <c r="AA3" s="3" t="s">
        <v>267</v>
      </c>
    </row>
    <row r="4" spans="1:27" x14ac:dyDescent="0.3">
      <c r="C4" s="3" t="s">
        <v>269</v>
      </c>
      <c r="D4" s="4">
        <v>0.11856767542703381</v>
      </c>
      <c r="E4" s="1"/>
      <c r="G4" s="3" t="s">
        <v>32</v>
      </c>
      <c r="H4" s="4">
        <v>4.8605038044416973E-2</v>
      </c>
      <c r="I4" s="1"/>
      <c r="K4" s="3" t="s">
        <v>36</v>
      </c>
      <c r="L4" s="4">
        <v>5.0051362235575395E-2</v>
      </c>
      <c r="O4" s="3" t="s">
        <v>32</v>
      </c>
      <c r="P4" s="4">
        <v>4.9954957441194749E-2</v>
      </c>
      <c r="S4" s="3" t="s">
        <v>32</v>
      </c>
      <c r="T4" s="3">
        <v>46466.339999999989</v>
      </c>
      <c r="U4" s="5">
        <v>267335</v>
      </c>
      <c r="Z4" s="3" t="s">
        <v>47</v>
      </c>
      <c r="AA4" s="4">
        <v>1.5283219548557766E-2</v>
      </c>
    </row>
    <row r="5" spans="1:27" x14ac:dyDescent="0.3">
      <c r="C5" s="3" t="s">
        <v>270</v>
      </c>
      <c r="D5" s="4">
        <v>8.6127196531003702E-2</v>
      </c>
      <c r="E5" s="1"/>
      <c r="G5" s="3" t="s">
        <v>48</v>
      </c>
      <c r="H5" s="4">
        <v>1.5283219548557766E-2</v>
      </c>
      <c r="I5" s="1"/>
      <c r="K5" s="3" t="s">
        <v>40</v>
      </c>
      <c r="L5" s="4">
        <v>0.15669754461241966</v>
      </c>
      <c r="O5" s="3" t="s">
        <v>48</v>
      </c>
      <c r="P5" s="4">
        <v>1.598211516811527E-2</v>
      </c>
      <c r="S5" s="3" t="s">
        <v>48</v>
      </c>
      <c r="T5" s="3">
        <v>14866</v>
      </c>
      <c r="U5" s="5">
        <v>84060</v>
      </c>
      <c r="Z5" s="3" t="s">
        <v>63</v>
      </c>
      <c r="AA5" s="4">
        <v>9.4897411888766672E-2</v>
      </c>
    </row>
    <row r="6" spans="1:27" x14ac:dyDescent="0.3">
      <c r="C6" s="3" t="s">
        <v>271</v>
      </c>
      <c r="D6" s="4">
        <v>0.28534903593538358</v>
      </c>
      <c r="E6" s="1"/>
      <c r="G6" s="3" t="s">
        <v>14</v>
      </c>
      <c r="H6" s="4">
        <v>0.68943392452933105</v>
      </c>
      <c r="I6" s="1"/>
      <c r="K6" s="3" t="s">
        <v>43</v>
      </c>
      <c r="L6" s="4">
        <v>0.13856849358653855</v>
      </c>
      <c r="O6" s="3" t="s">
        <v>14</v>
      </c>
      <c r="P6" s="4">
        <v>0.68125416149401674</v>
      </c>
      <c r="S6" s="3" t="s">
        <v>14</v>
      </c>
      <c r="T6" s="3">
        <v>633678.60000000021</v>
      </c>
      <c r="U6" s="5">
        <v>3791990</v>
      </c>
      <c r="Z6" s="3" t="s">
        <v>94</v>
      </c>
      <c r="AA6" s="4">
        <v>1.1681499595465578E-2</v>
      </c>
    </row>
    <row r="7" spans="1:27" x14ac:dyDescent="0.3">
      <c r="C7" s="3" t="s">
        <v>272</v>
      </c>
      <c r="D7" s="4">
        <v>0.21541867039989818</v>
      </c>
      <c r="E7" s="1"/>
      <c r="G7" s="3" t="s">
        <v>60</v>
      </c>
      <c r="H7" s="4">
        <v>0.13191003881712318</v>
      </c>
      <c r="I7" s="1"/>
      <c r="K7" s="3" t="s">
        <v>83</v>
      </c>
      <c r="L7" s="4">
        <v>0.18179458742034307</v>
      </c>
      <c r="O7" s="3" t="s">
        <v>60</v>
      </c>
      <c r="P7" s="4">
        <v>0.14077274096629372</v>
      </c>
      <c r="S7" s="3" t="s">
        <v>60</v>
      </c>
      <c r="T7" s="3">
        <v>130941.83999999997</v>
      </c>
      <c r="U7" s="5">
        <v>725525</v>
      </c>
      <c r="Z7" s="3" t="s">
        <v>44</v>
      </c>
      <c r="AA7" s="4">
        <v>2.39229839186204E-2</v>
      </c>
    </row>
    <row r="8" spans="1:27" x14ac:dyDescent="0.3">
      <c r="C8" s="3" t="s">
        <v>273</v>
      </c>
      <c r="D8" s="4">
        <v>0.17620064907320709</v>
      </c>
      <c r="E8" s="1"/>
      <c r="G8" s="3" t="s">
        <v>67</v>
      </c>
      <c r="H8" s="4">
        <v>0.11039698917302256</v>
      </c>
      <c r="I8" s="1"/>
      <c r="K8" s="3" t="s">
        <v>17</v>
      </c>
      <c r="L8" s="4">
        <v>0.25524940228902848</v>
      </c>
      <c r="O8" s="3" t="s">
        <v>67</v>
      </c>
      <c r="P8" s="4">
        <v>0.10796907868169671</v>
      </c>
      <c r="S8" s="3" t="s">
        <v>67</v>
      </c>
      <c r="T8" s="3">
        <v>100429.02999999998</v>
      </c>
      <c r="U8" s="5">
        <v>607200</v>
      </c>
      <c r="Z8" s="3" t="s">
        <v>102</v>
      </c>
      <c r="AA8" s="4">
        <v>0.18799487286710362</v>
      </c>
    </row>
    <row r="9" spans="1:27" x14ac:dyDescent="0.3">
      <c r="C9" s="3" t="s">
        <v>274</v>
      </c>
      <c r="D9" s="4">
        <v>0.11015517758606583</v>
      </c>
      <c r="E9" s="1"/>
      <c r="G9" s="3" t="s">
        <v>26</v>
      </c>
      <c r="H9" s="4">
        <v>4.3707898875485216E-3</v>
      </c>
      <c r="I9" s="1"/>
      <c r="K9" s="3" t="s">
        <v>12</v>
      </c>
      <c r="L9" s="4">
        <v>0.21763860985609484</v>
      </c>
      <c r="O9" s="3" t="s">
        <v>26</v>
      </c>
      <c r="P9" s="4">
        <v>4.0669462486827863E-3</v>
      </c>
      <c r="S9" s="3" t="s">
        <v>26</v>
      </c>
      <c r="T9" s="3">
        <v>3782.9300000000003</v>
      </c>
      <c r="U9" s="5">
        <v>24040</v>
      </c>
      <c r="Z9" s="3" t="s">
        <v>22</v>
      </c>
      <c r="AA9" s="4">
        <v>9.0270265356399371E-2</v>
      </c>
    </row>
    <row r="10" spans="1:27" x14ac:dyDescent="0.3">
      <c r="C10" s="3" t="s">
        <v>275</v>
      </c>
      <c r="D10" s="4">
        <v>8.181595047407798E-3</v>
      </c>
      <c r="E10" s="1"/>
      <c r="G10" s="3" t="s">
        <v>268</v>
      </c>
      <c r="H10" s="4">
        <v>1</v>
      </c>
      <c r="I10" s="1"/>
      <c r="K10" s="3" t="s">
        <v>268</v>
      </c>
      <c r="L10" s="4">
        <v>1</v>
      </c>
      <c r="O10" s="3" t="s">
        <v>268</v>
      </c>
      <c r="P10" s="4">
        <v>1</v>
      </c>
      <c r="S10" s="3" t="s">
        <v>268</v>
      </c>
      <c r="T10" s="3">
        <v>930164.74000000022</v>
      </c>
      <c r="U10" s="5">
        <v>5500150</v>
      </c>
      <c r="Z10" s="3" t="s">
        <v>31</v>
      </c>
      <c r="AA10" s="4">
        <v>7.2734379971455326E-3</v>
      </c>
    </row>
    <row r="11" spans="1:27" x14ac:dyDescent="0.3">
      <c r="C11" s="3" t="s">
        <v>268</v>
      </c>
      <c r="D11" s="4">
        <v>1</v>
      </c>
      <c r="E11" s="1"/>
      <c r="I11" s="1"/>
      <c r="Z11" s="3" t="s">
        <v>50</v>
      </c>
      <c r="AA11" s="4">
        <v>2.8340136178104233E-3</v>
      </c>
    </row>
    <row r="12" spans="1:27" x14ac:dyDescent="0.3">
      <c r="E12" s="1"/>
      <c r="Z12" s="3" t="s">
        <v>59</v>
      </c>
      <c r="AA12" s="4">
        <v>3.7012626928356503E-2</v>
      </c>
    </row>
    <row r="13" spans="1:27" x14ac:dyDescent="0.3">
      <c r="Z13" s="3" t="s">
        <v>25</v>
      </c>
      <c r="AA13" s="4">
        <v>1.5367762697380981E-3</v>
      </c>
    </row>
    <row r="14" spans="1:27" x14ac:dyDescent="0.3">
      <c r="Z14" s="3" t="s">
        <v>37</v>
      </c>
      <c r="AA14" s="4">
        <v>2.8779215112315119E-2</v>
      </c>
    </row>
    <row r="15" spans="1:27" x14ac:dyDescent="0.3">
      <c r="Z15" s="3" t="s">
        <v>66</v>
      </c>
      <c r="AA15" s="4">
        <v>0.11039698917302256</v>
      </c>
    </row>
    <row r="16" spans="1:27" x14ac:dyDescent="0.3">
      <c r="Z16" s="3" t="s">
        <v>13</v>
      </c>
      <c r="AA16" s="4">
        <v>0.27719244020617617</v>
      </c>
    </row>
    <row r="17" spans="26:27" x14ac:dyDescent="0.3">
      <c r="Z17" s="3" t="s">
        <v>28</v>
      </c>
      <c r="AA17" s="4">
        <v>0.10519713098733671</v>
      </c>
    </row>
    <row r="18" spans="26:27" x14ac:dyDescent="0.3">
      <c r="Z18" s="3" t="s">
        <v>55</v>
      </c>
      <c r="AA18" s="4">
        <v>5.7271165331854584E-3</v>
      </c>
    </row>
    <row r="19" spans="26:27" x14ac:dyDescent="0.3">
      <c r="Z19" s="3" t="s">
        <v>268</v>
      </c>
      <c r="AA19" s="4">
        <v>1</v>
      </c>
    </row>
    <row r="36" spans="1:11" ht="22.8" x14ac:dyDescent="0.45">
      <c r="A36" s="6" t="s">
        <v>284</v>
      </c>
      <c r="B36" s="6"/>
    </row>
    <row r="38" spans="1:11" x14ac:dyDescent="0.3">
      <c r="C38" s="3" t="s">
        <v>279</v>
      </c>
      <c r="E38" s="3" t="s">
        <v>280</v>
      </c>
      <c r="F38" s="14"/>
      <c r="G38" s="3" t="s">
        <v>281</v>
      </c>
      <c r="H38" s="14"/>
      <c r="I38" s="3" t="s">
        <v>282</v>
      </c>
      <c r="K38" s="3" t="s">
        <v>283</v>
      </c>
    </row>
    <row r="39" spans="1:11" x14ac:dyDescent="0.3">
      <c r="C39" s="19">
        <f>SUM(Table1[Sales])</f>
        <v>5500150</v>
      </c>
      <c r="E39" s="21">
        <f>SUM(Table1[Profit])</f>
        <v>770021</v>
      </c>
      <c r="F39" s="14"/>
      <c r="G39" s="9">
        <f>SUM('Sales Data'!H187:H202)</f>
        <v>47</v>
      </c>
      <c r="H39" s="14"/>
      <c r="I39" s="9">
        <f>COUNTA(Table1[Order ID])</f>
        <v>200</v>
      </c>
      <c r="K39" s="20">
        <f>'Pivot Tables'!C39/'Pivot Tables'!I39</f>
        <v>27500.75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F2F31-543C-43A7-8D25-FFC184C5BA29}">
  <dimension ref="A1:X33"/>
  <sheetViews>
    <sheetView showGridLines="0" zoomScaleNormal="100" workbookViewId="0">
      <selection activeCell="B33" sqref="B33"/>
    </sheetView>
  </sheetViews>
  <sheetFormatPr defaultColWidth="0" defaultRowHeight="14.4" zeroHeight="1" x14ac:dyDescent="0.3"/>
  <cols>
    <col min="1" max="24" width="8.88671875" style="17" customWidth="1"/>
    <col min="25" max="16384" width="8.88671875" style="17"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sheetData>
  <pageMargins left="0.7" right="0.7" top="0.75" bottom="0.75" header="0.3" footer="0.3"/>
  <pageSetup paperSize="66" fitToWidth="0"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Pentium Laptop</cp:lastModifiedBy>
  <cp:lastPrinted>2026-08-12T13:15:30Z</cp:lastPrinted>
  <dcterms:created xsi:type="dcterms:W3CDTF">2026-08-10T04:43:18Z</dcterms:created>
  <dcterms:modified xsi:type="dcterms:W3CDTF">2026-08-12T14:50:56Z</dcterms:modified>
</cp:coreProperties>
</file>